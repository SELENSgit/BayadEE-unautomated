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ugensan2-my.sharepoint.com/personal/selens_msugensan2_onmicrosoft_com/Documents/SELENS/ADMIN 2026-2027/000-Documents/002-Legislatives/001-Standing Committees/002-Administrative Affairs/1st Semester/"/>
    </mc:Choice>
  </mc:AlternateContent>
  <xr:revisionPtr revIDLastSave="0" documentId="8_{1276778E-F34C-4062-A0CC-6E279E623FC5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DROPDOWNS" sheetId="8" r:id="rId1"/>
    <sheet name="FinesLog" sheetId="3" r:id="rId2"/>
    <sheet name="FineRates" sheetId="7" r:id="rId3"/>
    <sheet name="PaymentPortal" sheetId="6" r:id="rId4"/>
    <sheet name="OfficerDashboard" sheetId="9" r:id="rId5"/>
    <sheet name="AttendanceGrid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9" l="1" a="1"/>
  <c r="A5" i="6" a="1"/>
  <c r="B1" i="9"/>
  <c r="B8" i="9"/>
  <c r="B9" i="9"/>
  <c r="C8" i="9"/>
  <c r="D8" i="9"/>
  <c r="C9" i="9"/>
  <c r="D9" i="9"/>
  <c r="H1" i="9"/>
  <c r="F1" i="9"/>
  <c r="D1" i="9"/>
  <c r="F3" i="6"/>
  <c r="A7" i="9" l="1"/>
  <c r="A5" i="6"/>
  <c r="B7" i="9" l="1"/>
  <c r="D7" i="9"/>
  <c r="C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<sst xmlns="http://schemas.openxmlformats.org/spreadsheetml/2006/main" count="1396" uniqueCount="1045">
  <si>
    <t>STATUS</t>
  </si>
  <si>
    <t>Unpaid</t>
  </si>
  <si>
    <t>Paid</t>
  </si>
  <si>
    <t>TXN ID</t>
  </si>
  <si>
    <t>Student ID</t>
  </si>
  <si>
    <t>Full Name</t>
  </si>
  <si>
    <t>Email Address</t>
  </si>
  <si>
    <t>Event / Offense</t>
  </si>
  <si>
    <t>Fine Amount</t>
  </si>
  <si>
    <t>Date</t>
  </si>
  <si>
    <t>Status</t>
  </si>
  <si>
    <t>Date Paid</t>
  </si>
  <si>
    <t>TXN-924873</t>
  </si>
  <si>
    <t>2020-0415</t>
  </si>
  <si>
    <t>ABDULGANI, EID A.</t>
  </si>
  <si>
    <t>eid.abdulgani@msugensan.edu.ph</t>
  </si>
  <si>
    <t>1st Semester DO Day A.Y. 2025-2026</t>
  </si>
  <si>
    <t>TXN-297328</t>
  </si>
  <si>
    <t>2nd Semester GA A.Y. 2025-2026</t>
  </si>
  <si>
    <t>TXN-346855</t>
  </si>
  <si>
    <t>2024-0071</t>
  </si>
  <si>
    <t>ABLANQUE, LHANDER KEITH</t>
  </si>
  <si>
    <t>lhanderkeith.ablanque@msugensan.edu.ph</t>
  </si>
  <si>
    <t>TXN-724686</t>
  </si>
  <si>
    <t>2024-0113</t>
  </si>
  <si>
    <t>ACAIN, ARJELYN</t>
  </si>
  <si>
    <t>arjelyn.acain@msugensan.edu.ph</t>
  </si>
  <si>
    <t>TXN-165841</t>
  </si>
  <si>
    <t>2023-4723</t>
  </si>
  <si>
    <t>ADAL, EMMAN S.</t>
  </si>
  <si>
    <t>emman.adal@msugensan.edu.ph</t>
  </si>
  <si>
    <t>TXN-826647</t>
  </si>
  <si>
    <t>2024-0179</t>
  </si>
  <si>
    <t>AHAMADUL, WAHABEN</t>
  </si>
  <si>
    <t>wahaben.ahamadul@msugensan.edu.ph</t>
  </si>
  <si>
    <t>TXN-837910</t>
  </si>
  <si>
    <t>2022-0117</t>
  </si>
  <si>
    <t>AMONCIO, ANDREI</t>
  </si>
  <si>
    <t>andrei.amoncio@msugensan.edu.ph</t>
  </si>
  <si>
    <t>TXN-910931</t>
  </si>
  <si>
    <t>2023-0189</t>
  </si>
  <si>
    <t>ANDRADE, NEPTHALI</t>
  </si>
  <si>
    <t>nepthali.andrade@msugensan.edu.ph</t>
  </si>
  <si>
    <t>TXN-699634</t>
  </si>
  <si>
    <t>2023-0216</t>
  </si>
  <si>
    <t>APARTE, JACOB P.</t>
  </si>
  <si>
    <t>jacob.aparte@msugensan.edu.ph</t>
  </si>
  <si>
    <t>TXN-862366</t>
  </si>
  <si>
    <t>2024-0339</t>
  </si>
  <si>
    <t>ASUNCION, RENZ</t>
  </si>
  <si>
    <t>renz.asuncion@msugensan.edu.ph</t>
  </si>
  <si>
    <t>TXN-888138</t>
  </si>
  <si>
    <t>2025-0375</t>
  </si>
  <si>
    <t>BALASO, ZAREINA MARI</t>
  </si>
  <si>
    <t>zareinamari.balaso@msugensan.edu.ph</t>
  </si>
  <si>
    <t>TXN-679486</t>
  </si>
  <si>
    <t>2023-0371</t>
  </si>
  <si>
    <t>BANTULO, KAMELLE ALTHEA E.</t>
  </si>
  <si>
    <t>kamellealthea.bantulo@msugensan.edu.ph</t>
  </si>
  <si>
    <t>TXN-786231</t>
  </si>
  <si>
    <t>2024-0004</t>
  </si>
  <si>
    <t>BARRION, AADJIELLO MIGUEL</t>
  </si>
  <si>
    <t>aadjiellomiguel.barrion@msugensan.edu.ph</t>
  </si>
  <si>
    <t>TXN-722531</t>
  </si>
  <si>
    <t>2022-0286</t>
  </si>
  <si>
    <t>BATAC, DAN JODIE</t>
  </si>
  <si>
    <t>danjodie.batac@msugensan.edu.ph</t>
  </si>
  <si>
    <t>TXN-367775</t>
  </si>
  <si>
    <t>2024-1247</t>
  </si>
  <si>
    <t>BAYLAS, FLEUR NICOLE</t>
  </si>
  <si>
    <t>fleurnicole.baylas@msugensan.edu.ph</t>
  </si>
  <si>
    <t>TXN-603796</t>
  </si>
  <si>
    <t>2024-0489</t>
  </si>
  <si>
    <t>BERNARDO, JOHN KENNETH</t>
  </si>
  <si>
    <t>johnkenneth.bernardo@msugensan.edu.ph</t>
  </si>
  <si>
    <t>TXN-301125</t>
  </si>
  <si>
    <t>2023-0559</t>
  </si>
  <si>
    <t>BULAER, MICHAEL R.</t>
  </si>
  <si>
    <t>michael.bulaer@msugensan.edu.ph</t>
  </si>
  <si>
    <t>TXN-626111</t>
  </si>
  <si>
    <t>2025-0570</t>
  </si>
  <si>
    <t>CALIMPON, KURT</t>
  </si>
  <si>
    <t>kurt.calimpon@msugensan.edu.ph</t>
  </si>
  <si>
    <t>TXN-444098</t>
  </si>
  <si>
    <t>2024-0704</t>
  </si>
  <si>
    <t>CANE, JOHN MARTIN</t>
  </si>
  <si>
    <t>johnmartin.cane@msugensan.edu.ph</t>
  </si>
  <si>
    <t>TXN-589268</t>
  </si>
  <si>
    <t>2022-0521</t>
  </si>
  <si>
    <t>CEREZO, ESCARLET</t>
  </si>
  <si>
    <t>escarlet.cerezo@msugensan.edu.ph</t>
  </si>
  <si>
    <t>TXN-859552</t>
  </si>
  <si>
    <t>2025-0650</t>
  </si>
  <si>
    <t>CHIVA, CLYDE RAVEN</t>
  </si>
  <si>
    <t>clyderaven.chiva@msugensan.edu.ph</t>
  </si>
  <si>
    <t>TXN-881357</t>
  </si>
  <si>
    <t>2024-0809</t>
  </si>
  <si>
    <t>DE LA TORRE, LOUIE JAY</t>
  </si>
  <si>
    <t>louiejay.delatorre@msugensan.edu.ph</t>
  </si>
  <si>
    <t>TXN-675346</t>
  </si>
  <si>
    <t>2022-0659</t>
  </si>
  <si>
    <t>DELANTAR, PATRICK FONZY</t>
  </si>
  <si>
    <t>patrickfonzy.delantar@msugensan.edu.ph</t>
  </si>
  <si>
    <t>TXN-680795</t>
  </si>
  <si>
    <t>2022-0731</t>
  </si>
  <si>
    <t>DORMIDO, XEAH GWYNETH</t>
  </si>
  <si>
    <t>xeahgwyneth.dormido@msugensan.edu.ph</t>
  </si>
  <si>
    <t>TXN-940478</t>
  </si>
  <si>
    <t>2025-0895</t>
  </si>
  <si>
    <t>ELBA, ADRIENNE JANE</t>
  </si>
  <si>
    <t>adriennejane.elba@msugensan.edu.ph</t>
  </si>
  <si>
    <t>TXN-714821</t>
  </si>
  <si>
    <t>2023-1132</t>
  </si>
  <si>
    <t>ENSARAY, KERVEN JAY B.</t>
  </si>
  <si>
    <t>kervenjay.ensaray@msugensan.edu.ph</t>
  </si>
  <si>
    <t>TXN-733804</t>
  </si>
  <si>
    <t>2022-0782</t>
  </si>
  <si>
    <t>ERIBAL, ARWEN AHMEDALLA H.</t>
  </si>
  <si>
    <t>arwenahmedalla.eribal@msugensan.edu.ph</t>
  </si>
  <si>
    <t>TXN-594408</t>
  </si>
  <si>
    <t>2023-1199</t>
  </si>
  <si>
    <t>FAMINDALAN, KRIZAN REY A.</t>
  </si>
  <si>
    <t>krizanrey.famindalan@msugensan.edu.ph</t>
  </si>
  <si>
    <t>TXN-418673</t>
  </si>
  <si>
    <t>2023-1246</t>
  </si>
  <si>
    <t>FLORES, KLIEN VINCENT G.</t>
  </si>
  <si>
    <t>klienvincent.flores@msugensan.edu.ph</t>
  </si>
  <si>
    <t>TXN-160149</t>
  </si>
  <si>
    <t>2025-1011</t>
  </si>
  <si>
    <t>GABLE, RICO II</t>
  </si>
  <si>
    <t>rico.gable@msugensan.edu.ph</t>
  </si>
  <si>
    <t>TXN-424670</t>
  </si>
  <si>
    <t>2024-1469</t>
  </si>
  <si>
    <t>GARCIA, JOHN VICTOR</t>
  </si>
  <si>
    <t>johnvictor.garcia@msugensan.edu.ph</t>
  </si>
  <si>
    <t>TXN-420135</t>
  </si>
  <si>
    <t>2024-2453</t>
  </si>
  <si>
    <t>GUIQUIN, JOHN ANDRAE</t>
  </si>
  <si>
    <t>johnandrae.guiquin@msugensan.edu.ph</t>
  </si>
  <si>
    <t>TXN-715901</t>
  </si>
  <si>
    <t>2025-1188</t>
  </si>
  <si>
    <t>JACOBO, ANDREI JAN</t>
  </si>
  <si>
    <t>andreijan.jacobo@msugensan.edu.ph</t>
  </si>
  <si>
    <t>TXN-911438</t>
  </si>
  <si>
    <t>2023-1519</t>
  </si>
  <si>
    <t>JADUCAN, ZYD GIRYL E.</t>
  </si>
  <si>
    <t>zydgiryl.jaducan@msugensan.edu.ph</t>
  </si>
  <si>
    <t>TXN-810390</t>
  </si>
  <si>
    <t>2024-2600</t>
  </si>
  <si>
    <t>JOTAJOT, JYSHELLE JAMM</t>
  </si>
  <si>
    <t>jyshellejamm.jotajot@msugensan.edu.ph</t>
  </si>
  <si>
    <t>TXN-320324</t>
  </si>
  <si>
    <t>2023-1693</t>
  </si>
  <si>
    <t>LEMERY, JULEYANNE GRACE L.</t>
  </si>
  <si>
    <t>juleyannegrace.lemery@msugensan.edu.ph</t>
  </si>
  <si>
    <t>TXN-124031</t>
  </si>
  <si>
    <t>2024-2793</t>
  </si>
  <si>
    <t>LEYSON, JABEZ BENEDICT</t>
  </si>
  <si>
    <t>jabezbenedict.leyson@msugensan.edu.ph</t>
  </si>
  <si>
    <t>TXN-476086</t>
  </si>
  <si>
    <t>2024-1389</t>
  </si>
  <si>
    <t>LIBASA, MG ARNAN</t>
  </si>
  <si>
    <t>mgarnan.libasa@msugensan.edu.ph</t>
  </si>
  <si>
    <t>TXN-139150</t>
  </si>
  <si>
    <t>2023-1700</t>
  </si>
  <si>
    <t>LIBAY, CHRISTINE MAE P.</t>
  </si>
  <si>
    <t>christinemae.libay@msugensan.edu.ph</t>
  </si>
  <si>
    <t>1st Semester GA A.Y. 2025-2026</t>
  </si>
  <si>
    <t>TXN-401091</t>
  </si>
  <si>
    <t>TXN-452441</t>
  </si>
  <si>
    <t>2025-1355</t>
  </si>
  <si>
    <t>LOSEGRO, ZEDRICK JOHN</t>
  </si>
  <si>
    <t>zedrickjohn.losegro@msugensan.edu.ph</t>
  </si>
  <si>
    <t>TXN-342018</t>
  </si>
  <si>
    <t>2024-3393</t>
  </si>
  <si>
    <t>MABOLOC, GILEAN YOGINNEE</t>
  </si>
  <si>
    <t>gileanyoginnee.maboloc@msugensan.edu.ph</t>
  </si>
  <si>
    <t>TXN-871462</t>
  </si>
  <si>
    <t>2023-2110</t>
  </si>
  <si>
    <t>NISPEROS, VAN KIRBY A.</t>
  </si>
  <si>
    <t>vankirby.nisperos@msugensan.edu.ph</t>
  </si>
  <si>
    <t>TXN-254844</t>
  </si>
  <si>
    <t>2024-1842</t>
  </si>
  <si>
    <t>PARILLA, RAJAINT</t>
  </si>
  <si>
    <t>rajaint.parilla@msugensan.edu.ph</t>
  </si>
  <si>
    <t>TXN-335529</t>
  </si>
  <si>
    <t>2025-1814</t>
  </si>
  <si>
    <t>PECOLADOS, MATTHEW</t>
  </si>
  <si>
    <t>matthew.pecolados@msugensan.edu.ph</t>
  </si>
  <si>
    <t>TXN-887910</t>
  </si>
  <si>
    <t>2024-1903</t>
  </si>
  <si>
    <t>PIODOS, RIEL LANCE</t>
  </si>
  <si>
    <t>riellance.piodos@msugensan.edu.ph</t>
  </si>
  <si>
    <t>TXN-373709</t>
  </si>
  <si>
    <t>2024-3437</t>
  </si>
  <si>
    <t>PLATEROS, MARIANNE HOPE</t>
  </si>
  <si>
    <t>mariannehope.plateros@msugensan.edu.ph</t>
  </si>
  <si>
    <t>TXN-859576</t>
  </si>
  <si>
    <t>2023-2397</t>
  </si>
  <si>
    <t>PREJOLES, DENMARK S.</t>
  </si>
  <si>
    <t>denmark.prejoles@msugensan.edu.ph</t>
  </si>
  <si>
    <t>TXN-846666</t>
  </si>
  <si>
    <t>2024-1374</t>
  </si>
  <si>
    <t>PUNAY, BLESSY GRACE</t>
  </si>
  <si>
    <t>blessygrace.punay@msugensan.edu.ph</t>
  </si>
  <si>
    <t>TXN-115884</t>
  </si>
  <si>
    <t>2022-1692</t>
  </si>
  <si>
    <t>RADIN, REDGE JEWELL</t>
  </si>
  <si>
    <t>redgejewell.radin@msugensan.edu.ph</t>
  </si>
  <si>
    <t>TXN-687994</t>
  </si>
  <si>
    <t>TXN-557126</t>
  </si>
  <si>
    <t>2023-2478</t>
  </si>
  <si>
    <t>RENGEL, JUSTIN ROY C.</t>
  </si>
  <si>
    <t>justinroy.rengel@msugensan.edu.ph</t>
  </si>
  <si>
    <t>TXN-399417</t>
  </si>
  <si>
    <t>TXN-976327</t>
  </si>
  <si>
    <t>2021-1907</t>
  </si>
  <si>
    <t>ROMEO, REX BRIAN</t>
  </si>
  <si>
    <t>rexbrian.romeo@msugensan.edu.ph</t>
  </si>
  <si>
    <t>TXN-673914</t>
  </si>
  <si>
    <t>TXN-992387</t>
  </si>
  <si>
    <t>2025-2065</t>
  </si>
  <si>
    <t>SAN JUAN, FG</t>
  </si>
  <si>
    <t>fg.sanjuan@msugensan.edu.ph</t>
  </si>
  <si>
    <t>TXN-358705</t>
  </si>
  <si>
    <t>2024-0780</t>
  </si>
  <si>
    <t>SANTARIN, FAITH NICOLE</t>
  </si>
  <si>
    <t>faithnicole.santarin@msugensan.edu.ph</t>
  </si>
  <si>
    <t>TXN-724600</t>
  </si>
  <si>
    <t>2023-2663</t>
  </si>
  <si>
    <t>SANTIAGO, VINCENT J.</t>
  </si>
  <si>
    <t>vincent.santiago@msugensan.edu.ph</t>
  </si>
  <si>
    <t>TXN-601510</t>
  </si>
  <si>
    <t>2021-1980</t>
  </si>
  <si>
    <t>SANTILLAN, MICHAEL JARRE L.</t>
  </si>
  <si>
    <t>michaeljarre.santillan@msugensan.edu.ph</t>
  </si>
  <si>
    <t>TXN-640838</t>
  </si>
  <si>
    <t>2025-2155</t>
  </si>
  <si>
    <t>SOLINAP, CHAUNLEY MARX</t>
  </si>
  <si>
    <t>chaunleymarx.solinap@msugensan.edu.ph</t>
  </si>
  <si>
    <t>TXN-371262</t>
  </si>
  <si>
    <t>2023-2808</t>
  </si>
  <si>
    <t>SUMANDURAN, GIL C.</t>
  </si>
  <si>
    <t>gil.sumanduran@msugensan.edu.ph</t>
  </si>
  <si>
    <t>TXN-917983</t>
  </si>
  <si>
    <t>2024-2419</t>
  </si>
  <si>
    <t>TABANAO, KHENT</t>
  </si>
  <si>
    <t>khent.tabanao@msugensan.edu.ph</t>
  </si>
  <si>
    <t>TXN-227894</t>
  </si>
  <si>
    <t>2024-3396</t>
  </si>
  <si>
    <t>TAER, EARL JOHN</t>
  </si>
  <si>
    <t>earljohn.taer@msugensan.edu.ph</t>
  </si>
  <si>
    <t>TXN-782767</t>
  </si>
  <si>
    <t>2022-2018</t>
  </si>
  <si>
    <t>TISARA, ARLEN DONN</t>
  </si>
  <si>
    <t>arlendonn.tisara@msugensan.edu.ph</t>
  </si>
  <si>
    <t>TXN-646060</t>
  </si>
  <si>
    <t>2024-2648</t>
  </si>
  <si>
    <t>VERIC, YRAH AESHETHEA</t>
  </si>
  <si>
    <t>yrahaeshethea.veric@msugensan.edu.ph</t>
  </si>
  <si>
    <t>TXN-627385</t>
  </si>
  <si>
    <t>2024-2657</t>
  </si>
  <si>
    <t>VIERNES, ANGELA MARIE</t>
  </si>
  <si>
    <t>angelamarie.viernes@msugensan.edu.ph</t>
  </si>
  <si>
    <t>TXN-518792</t>
  </si>
  <si>
    <t>2024-0758</t>
  </si>
  <si>
    <t>ZAMORA, SOFIA AMOR</t>
  </si>
  <si>
    <t>sofiaamor.zamora@msugensan.edu.ph</t>
  </si>
  <si>
    <t>Fine #</t>
  </si>
  <si>
    <t>Default Fine (PHP)</t>
  </si>
  <si>
    <t>Event Date</t>
  </si>
  <si>
    <t>Fine 1</t>
  </si>
  <si>
    <t xml:space="preserve">1st Semester GA A.Y. 2025-2026 </t>
  </si>
  <si>
    <t>Fine 2</t>
  </si>
  <si>
    <t xml:space="preserve">1st Semester DO Day A.Y. 2025-2026 </t>
  </si>
  <si>
    <t>Fine 3</t>
  </si>
  <si>
    <t xml:space="preserve">2nd Semester GA A.Y. 2025-2026 </t>
  </si>
  <si>
    <t>Fine 4</t>
  </si>
  <si>
    <t>1st Semester GA A.Y. 2026-2027</t>
  </si>
  <si>
    <t xml:space="preserve"> </t>
  </si>
  <si>
    <t>Student ID:</t>
  </si>
  <si>
    <t>Fine ID / Event (Optional):</t>
  </si>
  <si>
    <t>ℹ️ No eligible pending or promissory fines found.</t>
  </si>
  <si>
    <t>TOTAL FINES:</t>
  </si>
  <si>
    <t>Total Collected (PHP)</t>
  </si>
  <si>
    <t>Outstanding Balance (PHP)</t>
  </si>
  <si>
    <t>Unpaid Fines Count</t>
  </si>
  <si>
    <t>Collection Rate (%)</t>
  </si>
  <si>
    <t>Total Logged</t>
  </si>
  <si>
    <t>Paid Amount</t>
  </si>
  <si>
    <t>Unpaid Amount</t>
  </si>
  <si>
    <t>NO</t>
  </si>
  <si>
    <t>2026-0035</t>
  </si>
  <si>
    <t>ABELLERA, REIGNHEART KIM M.</t>
  </si>
  <si>
    <t>reignheartkim.abellera@msugensan.edu.ph</t>
  </si>
  <si>
    <t>2024-4053</t>
  </si>
  <si>
    <t>ABUZO, MARZILLE JEANE B.</t>
  </si>
  <si>
    <t>marzillejeane.abuzo@msugensan.edu.ph</t>
  </si>
  <si>
    <t>2026-0006</t>
  </si>
  <si>
    <t>AGRAVANTE, JAD TRISTAN G.</t>
  </si>
  <si>
    <t>jadtristan.agravante@msugensan.edu.ph</t>
  </si>
  <si>
    <t>2026-2843</t>
  </si>
  <si>
    <t>AGUSTIN, CITHRINE D.</t>
  </si>
  <si>
    <t>ladycithrine.agustin@msugensan.edu.ph</t>
  </si>
  <si>
    <t>2026-0111</t>
  </si>
  <si>
    <t>ALEJADO, RENZ VAN LISTHER L.</t>
  </si>
  <si>
    <t>renzvanlisther.alejado@msugensan.edu.ph</t>
  </si>
  <si>
    <t>2026-0156</t>
  </si>
  <si>
    <t>AMPER, ROGEN KYLE D.</t>
  </si>
  <si>
    <t>rogenkyle.amper@msugensan.edu.ph</t>
  </si>
  <si>
    <t>2026-0194</t>
  </si>
  <si>
    <t>ARAZA, VAUGHN XYRIL B.</t>
  </si>
  <si>
    <t>vaughnxyril.araza@msugensan.edu.ph</t>
  </si>
  <si>
    <t>2026-2442</t>
  </si>
  <si>
    <t>ARNAIZ, LEONNA JAYDEN G.</t>
  </si>
  <si>
    <t>leonnajayden.arnaiz@msugensan.edu.ph</t>
  </si>
  <si>
    <t>2026-0229</t>
  </si>
  <si>
    <t>AUSA, FROILAN JOSE T.</t>
  </si>
  <si>
    <t>froilanjose.ausa@msugensan.edu.ph</t>
  </si>
  <si>
    <t>2026-1293</t>
  </si>
  <si>
    <t>AZUCENA, JAN DAVE B.</t>
  </si>
  <si>
    <t>jandave.azucena@msugensan.edu.ph</t>
  </si>
  <si>
    <t>2026-1294</t>
  </si>
  <si>
    <t>BAGUIO, RUTHGRACE L.</t>
  </si>
  <si>
    <t>ruthgrace.baguio@msugensan.edu.ph</t>
  </si>
  <si>
    <t>2026-2443</t>
  </si>
  <si>
    <t>BASALO, RANDLER XAGNE L.</t>
  </si>
  <si>
    <t>randlerxagne.basalo@msugensan.edu.ph</t>
  </si>
  <si>
    <t>2026-1295</t>
  </si>
  <si>
    <t>BERGADO, ROD EDISON B.</t>
  </si>
  <si>
    <t>rodedison.bergado@msugensan.edu.ph</t>
  </si>
  <si>
    <t>2026-1296</t>
  </si>
  <si>
    <t>BITUIN, BEBEBOY O.</t>
  </si>
  <si>
    <t>bebeboy.bituin@msugensan.edu.ph</t>
  </si>
  <si>
    <t>2026-1297</t>
  </si>
  <si>
    <t>BOLAÑO, FRANCIS MATTHEW A.</t>
  </si>
  <si>
    <t>francismatthew.bolano@msugensan.edu.ph</t>
  </si>
  <si>
    <t>2026-2445</t>
  </si>
  <si>
    <t>BORELA, EMMANUEL ISAAC P.</t>
  </si>
  <si>
    <t>emmanuelisaac.borela@msugensan.edu.ph</t>
  </si>
  <si>
    <t>2026-1298</t>
  </si>
  <si>
    <t>BORROMEO, LANCE ALBERT J.</t>
  </si>
  <si>
    <t>lancealbert.borromeo@msugensan.edu.ph</t>
  </si>
  <si>
    <t>2026-1299</t>
  </si>
  <si>
    <t>BRAZA, JOEN PAULO</t>
  </si>
  <si>
    <t>joenpaulo.braza@msugensan.edu.ph</t>
  </si>
  <si>
    <t>2026-1300</t>
  </si>
  <si>
    <t>BUDAY, FRITZ SAMUEL D.</t>
  </si>
  <si>
    <t>fritzsamuel.buday@msugensan.edu.ph</t>
  </si>
  <si>
    <t>2026-1301</t>
  </si>
  <si>
    <t>BUHI-AN, MARK DEAN PAUL B.</t>
  </si>
  <si>
    <t>markdeanpaul.buhian@msugensan.edu.ph</t>
  </si>
  <si>
    <t>2024-3496</t>
  </si>
  <si>
    <t>CABANSAY, JONATHAN B.</t>
  </si>
  <si>
    <t>jonathan.cabansay@msugensan.edu.ph</t>
  </si>
  <si>
    <t>2026-2446</t>
  </si>
  <si>
    <t>CABIDO, ALJAN M.</t>
  </si>
  <si>
    <t>aljan.cabido@msugensan.edu.ph</t>
  </si>
  <si>
    <t>2026-1302</t>
  </si>
  <si>
    <t>CALUSAY, JEZRYLLE JOYCE S.</t>
  </si>
  <si>
    <t>jezryllejoyce.calusay@msugensan.edu.ph</t>
  </si>
  <si>
    <t>2026-1303</t>
  </si>
  <si>
    <t>CAROLLO, JEO MICHEAL P.</t>
  </si>
  <si>
    <t>jeomicheal.carollo@msugensan.edu.ph</t>
  </si>
  <si>
    <t>2026-1304</t>
  </si>
  <si>
    <t>CAWASA, MITCHIKU B.</t>
  </si>
  <si>
    <t>mitchiku.cawasa@msugensan.edu.ph</t>
  </si>
  <si>
    <t>2026-1305</t>
  </si>
  <si>
    <t>CELENDRO, ADRIAN ROY D.</t>
  </si>
  <si>
    <t>adrianroy.celendro@msugensan.edu.ph</t>
  </si>
  <si>
    <t>2026-1306</t>
  </si>
  <si>
    <t>CERBAS, LANCE C.</t>
  </si>
  <si>
    <t>lance.cerbas@msugensan.edu.ph</t>
  </si>
  <si>
    <t>2026-1307</t>
  </si>
  <si>
    <t>CORTEZ, SAMUEL CHANDREAN G.</t>
  </si>
  <si>
    <t>samuelchandrean.cortez@msugensan.edu.ph</t>
  </si>
  <si>
    <t>2026-1308</t>
  </si>
  <si>
    <t>DACUMOS, GEOFFREY L.</t>
  </si>
  <si>
    <t>geoffrey.dacumos@msugensan.edu.ph</t>
  </si>
  <si>
    <t>2026-1309</t>
  </si>
  <si>
    <t>DAGSAN, AVRILYN M.</t>
  </si>
  <si>
    <t>avrilyn.dagsan@msugensan.edu.ph</t>
  </si>
  <si>
    <t>2026-2447</t>
  </si>
  <si>
    <t>DALAPO, ISIDORE JOHN O.</t>
  </si>
  <si>
    <t>isidorejohn.dalapo@msugensan.edu.ph</t>
  </si>
  <si>
    <t>2026-1310</t>
  </si>
  <si>
    <t>DE DIOS, MARK ALWAYNE</t>
  </si>
  <si>
    <t>markalwayne.dedios@msugensan.edu.ph</t>
  </si>
  <si>
    <t>2026-2448</t>
  </si>
  <si>
    <t>DEDUQUE, ARVYN S.</t>
  </si>
  <si>
    <t>arvyn.deduque@msugensan.edu.ph</t>
  </si>
  <si>
    <t>2026-2449</t>
  </si>
  <si>
    <t>DELA CRUZ, JOSHUA JOHN T.</t>
  </si>
  <si>
    <t>joshuajohn.delacruz@msugensan.edu.ph</t>
  </si>
  <si>
    <t>2026-1311</t>
  </si>
  <si>
    <t>DELOS REYES, JOHN ROVIC C.</t>
  </si>
  <si>
    <t>johnrovic.delosreyes@msugensan.edu.ph</t>
  </si>
  <si>
    <t>2026-2450</t>
  </si>
  <si>
    <t>DEMETILLO, ADDY</t>
  </si>
  <si>
    <t>addymiguel.demetillo@msugensan.edu.ph</t>
  </si>
  <si>
    <t>2026-1312</t>
  </si>
  <si>
    <t>DISCUATAN, EZRA DEYNIEL P.</t>
  </si>
  <si>
    <t>ezradeyniel.discuatan@msugensan.edu.ph</t>
  </si>
  <si>
    <t>2026-1313</t>
  </si>
  <si>
    <t>DURAC, RYVEEN ARDRIANN</t>
  </si>
  <si>
    <t>ryveenardriann.durac@msugensan.edu.ph</t>
  </si>
  <si>
    <t>2026-1314</t>
  </si>
  <si>
    <t>ERIPOL, ALHEA C.</t>
  </si>
  <si>
    <t>alhea.eripol@msugensan.edu.ph</t>
  </si>
  <si>
    <t>2026-2451</t>
  </si>
  <si>
    <t>ESTRELLA, CHARLES IVAN M.</t>
  </si>
  <si>
    <t>charlesivan.estrella@msugensan.edu.ph</t>
  </si>
  <si>
    <t>2026-1315</t>
  </si>
  <si>
    <t>FERNANDEZ, MICO ANGELO</t>
  </si>
  <si>
    <t>micoangelo.fernandez@msugensan.edu.ph</t>
  </si>
  <si>
    <t>2026-1316</t>
  </si>
  <si>
    <t>FORTUNA, HANS VON L.</t>
  </si>
  <si>
    <t>hansvon.fortuna@msugensan.edu.ph</t>
  </si>
  <si>
    <t>2026-1317</t>
  </si>
  <si>
    <t>GONZALES, JESTONIE AHLEY</t>
  </si>
  <si>
    <t>jestonieahley.gonzales@msugensan.edu.ph</t>
  </si>
  <si>
    <t>2024-1167</t>
  </si>
  <si>
    <t>GRANADA, GIAN REY</t>
  </si>
  <si>
    <t>gianrey.granada@msugensan.edu.ph</t>
  </si>
  <si>
    <t>2026-1318</t>
  </si>
  <si>
    <t>GRAPANI, JAKE D.</t>
  </si>
  <si>
    <t>jake.grapani@msugensan.edu.ph</t>
  </si>
  <si>
    <t>2024-3556</t>
  </si>
  <si>
    <t>JORCA, JAY LLOYD CANOY</t>
  </si>
  <si>
    <t>jaylloyd.jorca@msugensan.edu.ph</t>
  </si>
  <si>
    <t>2026-1319</t>
  </si>
  <si>
    <t>JUMAWAN, LANZ IVAN S.</t>
  </si>
  <si>
    <t>lanzivan.jumawan@msugensan.edu.ph</t>
  </si>
  <si>
    <t>2026-2452</t>
  </si>
  <si>
    <t>LACDO-O, AYANNA BEATRICE S.</t>
  </si>
  <si>
    <t>ayannabeatrice.lacdoo@msugensan.edu.ph</t>
  </si>
  <si>
    <t>2026-1320</t>
  </si>
  <si>
    <t>LAGMAN, ELIEZER ANTHONY</t>
  </si>
  <si>
    <t>eliezeranthony.lagman@msugensan.edu.ph</t>
  </si>
  <si>
    <t>2026-2453</t>
  </si>
  <si>
    <t>LAMOSTE, ALTHEA MARISSE D.</t>
  </si>
  <si>
    <t>altheamarisse.lamoste@msugensan.edu.ph</t>
  </si>
  <si>
    <t>2026-1321</t>
  </si>
  <si>
    <t>LLAMERA, LOUIE DANIEL T.</t>
  </si>
  <si>
    <t>louiedaniel.llamera@msugensan.edu.ph</t>
  </si>
  <si>
    <t>2026-1126</t>
  </si>
  <si>
    <t>LUMANILAO, OLIVER L.</t>
  </si>
  <si>
    <t>oliver.lumanilao@msugensan.edu.ph</t>
  </si>
  <si>
    <t>2026-2454</t>
  </si>
  <si>
    <t>MAGCANTA, KURT DANIEL C.</t>
  </si>
  <si>
    <t>kurt.magcanta@msugensan.edu.ph</t>
  </si>
  <si>
    <t>2026-1323</t>
  </si>
  <si>
    <t>MAGSANO, BRENT EZEKIEL, J.</t>
  </si>
  <si>
    <t>brentezekiel.magsano@msugensan.edu.ph</t>
  </si>
  <si>
    <t>2026-2455</t>
  </si>
  <si>
    <t>MANALOCON, FATMA HAYSSA S.</t>
  </si>
  <si>
    <t>fatmahayssa.manalocon@msugensan.edu.ph</t>
  </si>
  <si>
    <t>2026-2456</t>
  </si>
  <si>
    <t>MANARES, EARL CHESTER C.</t>
  </si>
  <si>
    <t>earlchester.manares@msugensan.edu.ph</t>
  </si>
  <si>
    <t>2026-1324</t>
  </si>
  <si>
    <t>MANTIL, FRITZ WINZEL B.</t>
  </si>
  <si>
    <t>fritzwinzel.mantil@msugensan.edu.ph</t>
  </si>
  <si>
    <t>2026-1325</t>
  </si>
  <si>
    <t>MARIQUIT, TRISHA B.</t>
  </si>
  <si>
    <t>trisha.mariquit@msugensan.edu.ph</t>
  </si>
  <si>
    <t>2026-1326</t>
  </si>
  <si>
    <t>MILLEVO, MIKAEL KRISTOFF</t>
  </si>
  <si>
    <t>mikaelkristoff.millevo@msugensan.edu.ph</t>
  </si>
  <si>
    <t>2026- 1327</t>
  </si>
  <si>
    <t>MIOLE, CYRUS PORTEN</t>
  </si>
  <si>
    <t>cyrus.miole@msugensan.edu.ph</t>
  </si>
  <si>
    <t>2026 - 1328</t>
  </si>
  <si>
    <t>NECESARIO, REIGN HEART A.</t>
  </si>
  <si>
    <t>reignheart.necesario@msugensan.edu.ph</t>
  </si>
  <si>
    <t>2026-2457</t>
  </si>
  <si>
    <t>OLAER, KIM JOSHUA V.</t>
  </si>
  <si>
    <t>kimjoshua.olaer@msugensan.edu.ph</t>
  </si>
  <si>
    <t>2026-2458</t>
  </si>
  <si>
    <t>PESARIO, ELLIE KHAYA RUSSEL P.</t>
  </si>
  <si>
    <t>ellie.pesario@msugensan.edu.ph</t>
  </si>
  <si>
    <t>2026-1329</t>
  </si>
  <si>
    <t>PO, VICTOR ALFONSO R.</t>
  </si>
  <si>
    <t>victoralfonso.po@msugensan.edu.ph</t>
  </si>
  <si>
    <t>2026-1330</t>
  </si>
  <si>
    <t>PRINCIPE, HOWARD D.</t>
  </si>
  <si>
    <t>howard.principe@msugensan.edu.ph</t>
  </si>
  <si>
    <t>2026-2459</t>
  </si>
  <si>
    <t>RAMOS, MENARDO C.</t>
  </si>
  <si>
    <t>menardo.ramos@msugensan.edu.ph</t>
  </si>
  <si>
    <t>2026-1331</t>
  </si>
  <si>
    <t>RIVERA, GIAN PAUL M.</t>
  </si>
  <si>
    <t>gianpaul.rivera@msugensan.edu.ph</t>
  </si>
  <si>
    <t>2026-1332</t>
  </si>
  <si>
    <t>RULETE, CHARLES T.</t>
  </si>
  <si>
    <t>charles.rulete@msugensan.edu.ph</t>
  </si>
  <si>
    <t>2026-2460</t>
  </si>
  <si>
    <t>SADANG, ALDRIN G.</t>
  </si>
  <si>
    <t>aldrin.sadang@msugensan.edu.ph</t>
  </si>
  <si>
    <t>2026-2461</t>
  </si>
  <si>
    <t>SAKKAM, NURVIN D.</t>
  </si>
  <si>
    <t>nurvin.sakkam@msugensan.edu.ph</t>
  </si>
  <si>
    <t>2026-1333</t>
  </si>
  <si>
    <t>SALES, JOHN GABRIEL D.</t>
  </si>
  <si>
    <t>johngabriel.sales@msugensan.edu.ph</t>
  </si>
  <si>
    <t>2026-2462</t>
  </si>
  <si>
    <t>SAMSON, CEDRIC JAMES V.</t>
  </si>
  <si>
    <t>cedricjames.samson@msugensan.edu.ph</t>
  </si>
  <si>
    <t>2026-2463</t>
  </si>
  <si>
    <t>SANTANDER, JOHN REXTER E.</t>
  </si>
  <si>
    <t>johnrexter.santander@msugensan.edu.ph</t>
  </si>
  <si>
    <t>2026-1334</t>
  </si>
  <si>
    <t>SARAOM, REMUS CEDRIK T</t>
  </si>
  <si>
    <t>remuscedrik.saraom@msugensan.edu.ph</t>
  </si>
  <si>
    <t>2026-1335</t>
  </si>
  <si>
    <t>SATUROS, MISAEL JR. N.</t>
  </si>
  <si>
    <t>misael.saturos@msugensan.edu.ph</t>
  </si>
  <si>
    <t>2026-2464</t>
  </si>
  <si>
    <t>SIBAL, JEMREX D.</t>
  </si>
  <si>
    <t>jemrex.sibal@msugensan.edu.ph</t>
  </si>
  <si>
    <t>2026-1336</t>
  </si>
  <si>
    <t>SINGCUA, JHON ALFRED Y.</t>
  </si>
  <si>
    <t xml:space="preserve">jhonalfred.singcua@msugensan.edu.ph </t>
  </si>
  <si>
    <t>2026-2465</t>
  </si>
  <si>
    <t>SIONOSA, JOVAN DAVE M.</t>
  </si>
  <si>
    <t>jovandave.sionosa@msugensan.edu.ph</t>
  </si>
  <si>
    <t>2026-1337</t>
  </si>
  <si>
    <t>SISON, SHAVV AUBRIEL B.</t>
  </si>
  <si>
    <t>shavvaubriel.sison@msugensan.edu.ph</t>
  </si>
  <si>
    <t>2026-1338</t>
  </si>
  <si>
    <t>SUICO, VANN ASHLEY G.</t>
  </si>
  <si>
    <t>vannashley.suico@msugensan.edu.ph</t>
  </si>
  <si>
    <t>2026-1339</t>
  </si>
  <si>
    <t>SUMAGAYSAY, VINCE T.</t>
  </si>
  <si>
    <t>vince.sumagaysay@msugensan.edu.ph</t>
  </si>
  <si>
    <t>2026-1340</t>
  </si>
  <si>
    <t>TABUTOL, KRISTIAN ANTHONY</t>
  </si>
  <si>
    <t>kristiananthony.tabutol@msugensan.edu.ph</t>
  </si>
  <si>
    <t>2026-1341</t>
  </si>
  <si>
    <t>TAYONE, JEZRAEL C.</t>
  </si>
  <si>
    <t>jezrael.tayone@msugensan.edu.ph</t>
  </si>
  <si>
    <t>2026-1342</t>
  </si>
  <si>
    <t>TECSON, ANGELIQUE SHINE</t>
  </si>
  <si>
    <t>angeliqueshine.tecson@msugensan.edu.ph</t>
  </si>
  <si>
    <t>2026-1343</t>
  </si>
  <si>
    <t>TODLAS, SHEZZER ALTHEA JAGANAS</t>
  </si>
  <si>
    <t>shezzeralthea.todlas@msugensan.edu.ph</t>
  </si>
  <si>
    <t>2026-1344</t>
  </si>
  <si>
    <t>TULOY, WESLEY ASHTON D.</t>
  </si>
  <si>
    <t>wesleyashton.tuloy@msugensan.edu.ph</t>
  </si>
  <si>
    <t>2026-1345</t>
  </si>
  <si>
    <t>VILLADAR, ANGELO A.</t>
  </si>
  <si>
    <t>angelo.villadar@msugensan.edu.ph</t>
  </si>
  <si>
    <t>2026-1346</t>
  </si>
  <si>
    <t>VILLAMOR, CIAN CARLO</t>
  </si>
  <si>
    <t>ciancarlo.villamor@msugensan.edu.ph</t>
  </si>
  <si>
    <t>2026-1347</t>
  </si>
  <si>
    <t>WABE, RHENS CYSREL F.</t>
  </si>
  <si>
    <t>rhenscysrel.wabe@msugensan.edu.ph</t>
  </si>
  <si>
    <t>2026-1348</t>
  </si>
  <si>
    <t>YCAY, LEBRON JAMES</t>
  </si>
  <si>
    <t>lebron.ycay@msugensan.edu.ph</t>
  </si>
  <si>
    <t>2025-0100</t>
  </si>
  <si>
    <t>AARON, CLARK JUSTINE</t>
  </si>
  <si>
    <t>clarkjustine.aaron@msugensan.edu.ph</t>
  </si>
  <si>
    <t>2025-0135</t>
  </si>
  <si>
    <t>ABING, BRYAN</t>
  </si>
  <si>
    <t>bryan.abing@msugensan.edu.ph</t>
  </si>
  <si>
    <t>2025-0205</t>
  </si>
  <si>
    <t>ALCULAR, RAE AUSTIN</t>
  </si>
  <si>
    <t>raeaustin.alcular@msugensan.edu.ph</t>
  </si>
  <si>
    <t>2025-0251</t>
  </si>
  <si>
    <t>AMBING, JAKE LAWRENCE</t>
  </si>
  <si>
    <t>jakelawrence.ambing@msugensan.edu.ph</t>
  </si>
  <si>
    <t>2025-2692</t>
  </si>
  <si>
    <t>ANDRAQUE, ELMER</t>
  </si>
  <si>
    <t>elmer.andraque@msugensan.edu.ph</t>
  </si>
  <si>
    <t>2025-0285</t>
  </si>
  <si>
    <t>ANGON, PRINCESS RYN</t>
  </si>
  <si>
    <t>princessryn.angon@msugensan.edu.ph</t>
  </si>
  <si>
    <t>2025-0356</t>
  </si>
  <si>
    <t>BACLAYANTO, FRANCIELLE</t>
  </si>
  <si>
    <t>francielle.baclayanto@msugensan.edu.ph</t>
  </si>
  <si>
    <t>2025-0434</t>
  </si>
  <si>
    <t>BARRIOS, CORRINE ASHLEY</t>
  </si>
  <si>
    <t>corrineashley.barrios@msugensan.edu.ph</t>
  </si>
  <si>
    <t>2025-0478</t>
  </si>
  <si>
    <t>BENSORTO, JEU</t>
  </si>
  <si>
    <t>jeu.bensorto@msugensan.edu.ph</t>
  </si>
  <si>
    <t>2025-0559</t>
  </si>
  <si>
    <t>CAGAS, MARC HERWIN</t>
  </si>
  <si>
    <t>marcherwin.cagas@msugensan.edu.ph</t>
  </si>
  <si>
    <t>2025-0561</t>
  </si>
  <si>
    <t>CAHANAP, DENNIS ANGELO</t>
  </si>
  <si>
    <t>dennisangelo.cahanap@msugensan.edu.ph</t>
  </si>
  <si>
    <t>2025-2903</t>
  </si>
  <si>
    <t>CANGREJO, JEMAR</t>
  </si>
  <si>
    <t>jemar.cangrejo@msugensan.edu.ph</t>
  </si>
  <si>
    <t>2025-0618</t>
  </si>
  <si>
    <t>CARTAGENA, RONAN KENT</t>
  </si>
  <si>
    <t>ronankent.cartagena@msugensan.edu.ph</t>
  </si>
  <si>
    <t>2025-0624</t>
  </si>
  <si>
    <t>CASIMERO, JAY VINCENT</t>
  </si>
  <si>
    <t>jayvincent.casimero@msugensan.edu.ph</t>
  </si>
  <si>
    <t>2025-2506</t>
  </si>
  <si>
    <t>CATIPAY, JEFF ASHLEY</t>
  </si>
  <si>
    <t>jeffashley.catipay@msugensan.edu.ph</t>
  </si>
  <si>
    <t>2025-0712</t>
  </si>
  <si>
    <t>DAGANDAL, PRINCESS AL THIEA</t>
  </si>
  <si>
    <t>princessalthiea.dagandal@msugensan.edu.ph</t>
  </si>
  <si>
    <t>2025-0775</t>
  </si>
  <si>
    <t>DELA ROSA, DANICA</t>
  </si>
  <si>
    <t>danica.delarosa@msugensan.edu.ph</t>
  </si>
  <si>
    <t>2025-0783</t>
  </si>
  <si>
    <t>DELGADO, JHESSE LOU</t>
  </si>
  <si>
    <t>jhesselou.delgado@msugensan.edu.ph</t>
  </si>
  <si>
    <t>2025-2693</t>
  </si>
  <si>
    <t>DENOLAN, RHEY AXELL</t>
  </si>
  <si>
    <t>rheyaxell.denolan@msugensan.edu.ph</t>
  </si>
  <si>
    <t>2025-0799</t>
  </si>
  <si>
    <t>DEOCADES, JULIANE MARYNIL</t>
  </si>
  <si>
    <t>julianemarynil.deocades@msugensan.edu.ph</t>
  </si>
  <si>
    <t>2025-0820</t>
  </si>
  <si>
    <t>DIAZ, JULES ALBERT</t>
  </si>
  <si>
    <t>julesalbert.diaz@msugensan.edu.ph</t>
  </si>
  <si>
    <t>2025-0826</t>
  </si>
  <si>
    <t>DIMAYA, RALPH LAWRENCE</t>
  </si>
  <si>
    <t>ralphlawrence.dimaya@msugensan.edu.ph</t>
  </si>
  <si>
    <t>2025-0864</t>
  </si>
  <si>
    <t>DUAT, KIT</t>
  </si>
  <si>
    <t>kit.duat@msugensan.edu.ph</t>
  </si>
  <si>
    <t>2025-0879</t>
  </si>
  <si>
    <t>DURANA, CLINT</t>
  </si>
  <si>
    <t>clint.durana@msugensan.edu.ph</t>
  </si>
  <si>
    <t>2025-0882</t>
  </si>
  <si>
    <t>DUYAG, STEVE JASON</t>
  </si>
  <si>
    <t>stevejason.duyag@msugensan.edu.ph</t>
  </si>
  <si>
    <t>2025-2524</t>
  </si>
  <si>
    <t>ENDRINA, SARAH ALIYAH</t>
  </si>
  <si>
    <t>sarahaliyah.endrina@msugensan.edu.ph</t>
  </si>
  <si>
    <t>2025-2527</t>
  </si>
  <si>
    <t>ESTREBILLA, JULLIANA ROSE</t>
  </si>
  <si>
    <t>jullianarose.estrebilla@msugensan.edu.ph</t>
  </si>
  <si>
    <t>2025-0943</t>
  </si>
  <si>
    <t>EUSTAQUIO, ADDYSON JERRELL</t>
  </si>
  <si>
    <t>addysonjerrell.eustaquio@msugensan.edu.ph</t>
  </si>
  <si>
    <t>2025-0986</t>
  </si>
  <si>
    <t>FORRO, ACE</t>
  </si>
  <si>
    <t>ace.forro@msugensan.edu.ph</t>
  </si>
  <si>
    <t>2025-2700</t>
  </si>
  <si>
    <t>GALLAZA, DANNEL BERNARD</t>
  </si>
  <si>
    <t>dannelbernard.gallaza@msugensan.edu.ph</t>
  </si>
  <si>
    <t>2025-1064</t>
  </si>
  <si>
    <t>GELBOLINGO, RENZ</t>
  </si>
  <si>
    <t>renz.gelbolingo@msugensan.edu.ph</t>
  </si>
  <si>
    <t>2025-1076</t>
  </si>
  <si>
    <t>GEROCHE, ALLAN PAUL</t>
  </si>
  <si>
    <t>allanpaul.geroche@msugensan.edu.ph</t>
  </si>
  <si>
    <t>2025-1078</t>
  </si>
  <si>
    <t>GERONA, GRANT GEM</t>
  </si>
  <si>
    <t>grantgem.gerona@msugensan.edu.ph</t>
  </si>
  <si>
    <t>2025-2533</t>
  </si>
  <si>
    <t>GREGORIO, JANSAM CLENT</t>
  </si>
  <si>
    <t>jansamclent.gregorio@msugensan.edu.ph</t>
  </si>
  <si>
    <t>2025-1158</t>
  </si>
  <si>
    <t>HERNANDEZ, CHRISTINE SOPHIA EUNICE</t>
  </si>
  <si>
    <t>christinesophiaeunice.hernandez@msugensan.edu.ph</t>
  </si>
  <si>
    <t>2025-1202</t>
  </si>
  <si>
    <t>JEMINEZ, JANN CARLO</t>
  </si>
  <si>
    <t>janncarlo.jeminez@msugensan.edu.ph</t>
  </si>
  <si>
    <t>2025-1214</t>
  </si>
  <si>
    <t>JORING, RAYVER EDISON</t>
  </si>
  <si>
    <t>rayveredison.joring@msugensan.edu.ph</t>
  </si>
  <si>
    <t>2025-1288</t>
  </si>
  <si>
    <t>LAURON, CHARNOLD JAMES</t>
  </si>
  <si>
    <t>charnoldjames.lauron@msugensan.edu.ph</t>
  </si>
  <si>
    <t>2025-1289</t>
  </si>
  <si>
    <t>LAURON, JUSTINE DIVE</t>
  </si>
  <si>
    <t>justinedive.lauron@msugensan.edu.ph</t>
  </si>
  <si>
    <t>2025-1362</t>
  </si>
  <si>
    <t>LUCAS, HANNAH</t>
  </si>
  <si>
    <t>hannah.lucas@msugensan.edu.ph</t>
  </si>
  <si>
    <t>2025-1363</t>
  </si>
  <si>
    <t>LUCERO, JASPER</t>
  </si>
  <si>
    <t>jasper.lucero@msugensan.edu.ph</t>
  </si>
  <si>
    <t>2025-1368</t>
  </si>
  <si>
    <t>LUMACANG, HENGELBERT RHEYMAR</t>
  </si>
  <si>
    <t>hengelbertrheymar.lumacang@msugensan.edu.ph</t>
  </si>
  <si>
    <t>2025-1380</t>
  </si>
  <si>
    <t>MAATA, JOSHUA</t>
  </si>
  <si>
    <t>joshua.maata@msugensan.edu.ph</t>
  </si>
  <si>
    <t>2025-1468</t>
  </si>
  <si>
    <t>MANCERAS, RHENIEL</t>
  </si>
  <si>
    <t>rheniel.manceras@msugensan.edu.ph</t>
  </si>
  <si>
    <t>2025-1492</t>
  </si>
  <si>
    <t>MARAMARA, JHASPER GABRIEL</t>
  </si>
  <si>
    <t>jhaspergabriel.maramara@msugensan.edu.ph</t>
  </si>
  <si>
    <t>2025-1495</t>
  </si>
  <si>
    <t>MARAPAO, JOHN PAUL</t>
  </si>
  <si>
    <t>johnpaul.marapao@msugensan.edu.ph</t>
  </si>
  <si>
    <t>2025-1502</t>
  </si>
  <si>
    <t>MARIANO, JOHN ZYREX QUIN</t>
  </si>
  <si>
    <t>johnzyrexquin.mariano@msugensan.edu.ph</t>
  </si>
  <si>
    <t>2025-1504</t>
  </si>
  <si>
    <t>MARIOLA, KHERJAY</t>
  </si>
  <si>
    <t>kherjay.mariola@msugensan.edu.ph</t>
  </si>
  <si>
    <t>2025-1540</t>
  </si>
  <si>
    <t>MELCHOMO, ERICH CLAIRE</t>
  </si>
  <si>
    <t>erichclaire.melchomo@msugensan.edu.ph</t>
  </si>
  <si>
    <t>2025-1598</t>
  </si>
  <si>
    <t>MORALES, RHEY JAPHET</t>
  </si>
  <si>
    <t>rheyjaphet.morales@msugensan.edu.ph</t>
  </si>
  <si>
    <t>2025-1622</t>
  </si>
  <si>
    <t>NAMOCATCAT, KLEINTH JAVE IVANNE</t>
  </si>
  <si>
    <t>kleinthjaveivanne.namocatcat@msugensan.edu.ph</t>
  </si>
  <si>
    <t>2025-1643</t>
  </si>
  <si>
    <t>NICOLAS, IVAN KURT</t>
  </si>
  <si>
    <t>ivankurt.nicolas@msugensan.edu.ph</t>
  </si>
  <si>
    <t>2025-1730</t>
  </si>
  <si>
    <t>PAGALAN, JOSHUA CALEB</t>
  </si>
  <si>
    <t>joshuacaleb.pagalan@msugensan.edu.ph</t>
  </si>
  <si>
    <t>2025-2550</t>
  </si>
  <si>
    <t>PERLA, VHON DENVER</t>
  </si>
  <si>
    <t>vhondenver.perla@msugensan.edu.ph</t>
  </si>
  <si>
    <t>2025-1870</t>
  </si>
  <si>
    <t>PODADOR, LEO JAMES</t>
  </si>
  <si>
    <t>leojames.podador@msugensan.edu.ph</t>
  </si>
  <si>
    <t>2025-1929</t>
  </si>
  <si>
    <t>RECTO, JOHN BENEDICT</t>
  </si>
  <si>
    <t>johnbenedict.recto@msugensan.edu.ph</t>
  </si>
  <si>
    <t>2025-1962</t>
  </si>
  <si>
    <t>RIVERA, GEVAN LEO</t>
  </si>
  <si>
    <t>gevanleo.rivera@msugensan.edu.ph</t>
  </si>
  <si>
    <t>2025-2034</t>
  </si>
  <si>
    <t>SALES, RYZA MAE</t>
  </si>
  <si>
    <t>ryzamae.sales@msugensan.edu.ph</t>
  </si>
  <si>
    <t>2025-2064</t>
  </si>
  <si>
    <t>SAMULDE, GEROLD</t>
  </si>
  <si>
    <t>gerold.samulde@msugensan.edu.ph</t>
  </si>
  <si>
    <t>2025-2109</t>
  </si>
  <si>
    <t>SEGAYA, VON</t>
  </si>
  <si>
    <t>von.segaya@msugensan.edu.ph</t>
  </si>
  <si>
    <t>2025-2135</t>
  </si>
  <si>
    <t>SIMANGAN, WHELLIARD</t>
  </si>
  <si>
    <t>whelliard.simangan@msugensan.edu.ph</t>
  </si>
  <si>
    <t>2025-2174</t>
  </si>
  <si>
    <t>SPADILLA, KAYE REANN FARHANNAH</t>
  </si>
  <si>
    <t>kayereannfarhannah.spadilla@msugensan.edu.ph</t>
  </si>
  <si>
    <t>2025-2203</t>
  </si>
  <si>
    <t>TACSAN, EARL KEVIN</t>
  </si>
  <si>
    <t>earlkevin.tacsan@msugensan.edu.ph</t>
  </si>
  <si>
    <t>2025-2245</t>
  </si>
  <si>
    <t>TATEL, MARIANETH</t>
  </si>
  <si>
    <t>marianeth.tatel@msugensan.edu.ph</t>
  </si>
  <si>
    <t>2025-2384</t>
  </si>
  <si>
    <t>VERALLO, HERICKA AUGUSTHA</t>
  </si>
  <si>
    <t>herickaaugustha.verallo@msugensan.edu.ph</t>
  </si>
  <si>
    <t>2025-2386</t>
  </si>
  <si>
    <t>VERGARA, FEDERICO</t>
  </si>
  <si>
    <t>federico.vergara@msugensan.edu.ph</t>
  </si>
  <si>
    <t>2025-2398</t>
  </si>
  <si>
    <t>VILLANUEVA, LHIAM</t>
  </si>
  <si>
    <t>lhiam.villanueva@msugensan.edu.ph</t>
  </si>
  <si>
    <t>2025-2417</t>
  </si>
  <si>
    <t>VIRGINIA, JASPER KURT</t>
  </si>
  <si>
    <t>jasperkurt.virginia@msugensan.edu.ph</t>
  </si>
  <si>
    <t>2025-2426</t>
  </si>
  <si>
    <t>YABUT, RINELYN</t>
  </si>
  <si>
    <t>rinelyn.yabut@msugensan.edu.ph</t>
  </si>
  <si>
    <t>2024-2532</t>
  </si>
  <si>
    <t>ALMERON, JESZIE HANNE</t>
  </si>
  <si>
    <t>jesziehanne.almeron@msugensan.edu.ph</t>
  </si>
  <si>
    <t>2024-2365</t>
  </si>
  <si>
    <t>ANSA, JOJIE ADRIAN</t>
  </si>
  <si>
    <t>jojieadrian.ansa@msugensan.edu.ph</t>
  </si>
  <si>
    <t>2024-0390</t>
  </si>
  <si>
    <t>APILAR, JUNRYL</t>
  </si>
  <si>
    <t>junryl.apilar@msugensan.edu.ph</t>
  </si>
  <si>
    <t>2024-0348</t>
  </si>
  <si>
    <t>ATA, MYKHY GHEN</t>
  </si>
  <si>
    <t>mykhyghen.ata@msugensan.edu.ph</t>
  </si>
  <si>
    <t>2024-0416</t>
  </si>
  <si>
    <t>BANDOY, ROYCE JULIAN</t>
  </si>
  <si>
    <t>roycejulian.bandoy@msugensan.edu.ph</t>
  </si>
  <si>
    <t>2024-2332</t>
  </si>
  <si>
    <t>BAYOG, KENT BRYLE</t>
  </si>
  <si>
    <t>kentbryle.bayog@msugensan.edu.ph</t>
  </si>
  <si>
    <t>2024-0470</t>
  </si>
  <si>
    <t>BELOCURA, QUIRINO JOHN</t>
  </si>
  <si>
    <t>quirinojohn.belocura@msugensan.edu.ph</t>
  </si>
  <si>
    <t>2024-0556</t>
  </si>
  <si>
    <t>BUSTAMANTE, FLOREME II</t>
  </si>
  <si>
    <t>floreme.bustamante@msugensan.edu.ph</t>
  </si>
  <si>
    <t>2024-0877</t>
  </si>
  <si>
    <t>CABARON, WHYNDYL</t>
  </si>
  <si>
    <t>whyndyl.cabaron@msugensan.edu.ph</t>
  </si>
  <si>
    <t>2024-4065</t>
  </si>
  <si>
    <t>CAMBALON, CHRISTIAN JAY</t>
  </si>
  <si>
    <t>christianjay.cambalon@msugensan.edu.ph</t>
  </si>
  <si>
    <t>2024-1287</t>
  </si>
  <si>
    <t>CAMILO, KYLA MAE</t>
  </si>
  <si>
    <t>kylamae.camilo@msugensan.edu.ph</t>
  </si>
  <si>
    <t>2024-1637</t>
  </si>
  <si>
    <t>CAÑALES, KING ANGELO</t>
  </si>
  <si>
    <t>kingangelo.canales@msugensan.edu.ph</t>
  </si>
  <si>
    <t>2024-0732</t>
  </si>
  <si>
    <t>CORPUZ, YAEL</t>
  </si>
  <si>
    <t>yael.corpuz@msugensan.edu.ph</t>
  </si>
  <si>
    <t>2024-0806</t>
  </si>
  <si>
    <t>DE JUAN, ARCH JOSHUA</t>
  </si>
  <si>
    <t>archjoshua.dejuan@msugensan.edu.ph</t>
  </si>
  <si>
    <t>2024-0822</t>
  </si>
  <si>
    <t>DELA BANDA, CHRISTINE</t>
  </si>
  <si>
    <t>christine.delabanda@msugensan.edu.ph</t>
  </si>
  <si>
    <t>2024-0860</t>
  </si>
  <si>
    <t>DEMAISIP, KATE ANGELA</t>
  </si>
  <si>
    <t>kateangela.demaisip@msugensan.edu.ph</t>
  </si>
  <si>
    <t>2024-0868</t>
  </si>
  <si>
    <t>DERMIL, KENNETH COLE</t>
  </si>
  <si>
    <t>kennethcole.dermil@msugensan.edu.ph</t>
  </si>
  <si>
    <t>2024-1099</t>
  </si>
  <si>
    <t>GAMPONG, AL-HARTHY</t>
  </si>
  <si>
    <t>al-harthy.gampong@msugensan.edu.ph</t>
  </si>
  <si>
    <t>2024-1316</t>
  </si>
  <si>
    <t>LABAJO, CHARLENE MARIE</t>
  </si>
  <si>
    <t>charlenemarie.labajo@msugensan.edu.ph</t>
  </si>
  <si>
    <t>2024-2557</t>
  </si>
  <si>
    <t>LICAYAN, JINZIMEY</t>
  </si>
  <si>
    <t>jinzimey.licayan@msugensan.edu.ph</t>
  </si>
  <si>
    <t>2024-1421</t>
  </si>
  <si>
    <t>LLUPAR, RELYN</t>
  </si>
  <si>
    <t>relyn.llupar@msugensan.edu.ph</t>
  </si>
  <si>
    <t>2024-1440</t>
  </si>
  <si>
    <t>LOZANO, ANGELOU</t>
  </si>
  <si>
    <t>angelou.lozano@msugensan.edu.ph</t>
  </si>
  <si>
    <t>2024-1488</t>
  </si>
  <si>
    <t>MAGHANOY, RHEN LLOYD</t>
  </si>
  <si>
    <t>rhenlloyd.maghanoy@msugensan.edu.ph</t>
  </si>
  <si>
    <t>2024-1520</t>
  </si>
  <si>
    <t>MALINAO, MATT DANIEL</t>
  </si>
  <si>
    <t>mattdaniel.malinao@msugensan.edu.ph</t>
  </si>
  <si>
    <t>2024-1523</t>
  </si>
  <si>
    <t>MANABAT, CEDRICK</t>
  </si>
  <si>
    <t>cedrick.manabat@msugensan.edu.ph</t>
  </si>
  <si>
    <t>2024-1600</t>
  </si>
  <si>
    <t>MELODY, RICARDO II</t>
  </si>
  <si>
    <t>ricardo.melody@msugensan.edu.ph</t>
  </si>
  <si>
    <t>2024-2594</t>
  </si>
  <si>
    <t>MONTILLA, KHRISTINA</t>
  </si>
  <si>
    <t>khristina.montilla@msugensan.edu.ph</t>
  </si>
  <si>
    <t>2024-1664</t>
  </si>
  <si>
    <t>MOSCOSO, GWEN</t>
  </si>
  <si>
    <t>gwen.moscoso@msugensan.edu.ph</t>
  </si>
  <si>
    <t>2024-1673</t>
  </si>
  <si>
    <t>MOZO, CHRISTIAN OLIVER</t>
  </si>
  <si>
    <t>christianoliver.mozo@msugensan.edu.ph</t>
  </si>
  <si>
    <t>2024-1757</t>
  </si>
  <si>
    <t>ONGGO, FRANCES ERL</t>
  </si>
  <si>
    <t>franceserl.onggo@msugensan.edu.ph</t>
  </si>
  <si>
    <t>2024-1957</t>
  </si>
  <si>
    <t>RANAN, MIGUEL TROY</t>
  </si>
  <si>
    <t>migueltroy.ranan@msugensan.edu.ph</t>
  </si>
  <si>
    <t>2024-2846</t>
  </si>
  <si>
    <t>RICAPLAZA, HAROLD</t>
  </si>
  <si>
    <t>harold.ricaplaza@msugensan.edu.ph</t>
  </si>
  <si>
    <t>2024-2536</t>
  </si>
  <si>
    <t>SACRAMENTO, HANS JUEEN</t>
  </si>
  <si>
    <t>hansjueen.sacramento@msugensan.edu.ph</t>
  </si>
  <si>
    <t>2024-0174</t>
  </si>
  <si>
    <t>SALAZAR, YVES JOY</t>
  </si>
  <si>
    <t>yvesjoy.salazar@msugensan.edu.ph</t>
  </si>
  <si>
    <t>2024-2458</t>
  </si>
  <si>
    <t>SOLOCASA, CHRISTIAN HERO</t>
  </si>
  <si>
    <t>christianhero.solocasa@msugensan.edu.ph</t>
  </si>
  <si>
    <t>2024-2181</t>
  </si>
  <si>
    <t>SUMAGAYSAY, JELYN</t>
  </si>
  <si>
    <t>jelyn.sumagaysay@msugensan.edu.ph</t>
  </si>
  <si>
    <t>2024-2272</t>
  </si>
  <si>
    <t>TORZAR, CENT DRIXEL</t>
  </si>
  <si>
    <t>centdrixel.torzar@msugensan.edu.ph</t>
  </si>
  <si>
    <t>2024-2290</t>
  </si>
  <si>
    <t>UBALDO, ROMER</t>
  </si>
  <si>
    <t>romer.ubaldo@msugensan.edu.ph</t>
  </si>
  <si>
    <t>2024-2646</t>
  </si>
  <si>
    <t>VEGA, ANDREI</t>
  </si>
  <si>
    <t>andrei.vega@msugensan.edu.ph</t>
  </si>
  <si>
    <t>2023-0049</t>
  </si>
  <si>
    <t>ACLAO, RODCHAEL JASON C.</t>
  </si>
  <si>
    <t>rodchaeljason.aclao@msugensan.edu.ph</t>
  </si>
  <si>
    <t>2023-0466</t>
  </si>
  <si>
    <t>BENJAMIN, CHRYS JAN</t>
  </si>
  <si>
    <t>chrysjan.benjamin@msugensan.edu.ph</t>
  </si>
  <si>
    <t>2023-0639</t>
  </si>
  <si>
    <t>CALUYONG, DENZEL JADE B.</t>
  </si>
  <si>
    <t>denzeljade.caluyong@msugensan.edu.ph</t>
  </si>
  <si>
    <t>2023-0805</t>
  </si>
  <si>
    <t>CORDOVA, LEE MARIE M.</t>
  </si>
  <si>
    <t>leemarie.cordova@msugensan.edu.ph</t>
  </si>
  <si>
    <t>2023-0814</t>
  </si>
  <si>
    <t>CORRALES, JUSTINE JAMES M.</t>
  </si>
  <si>
    <t>justinejames.corrales@msugensan.edu.ph</t>
  </si>
  <si>
    <t>2023-0866</t>
  </si>
  <si>
    <t>DALIGDIG, JAY-M P.</t>
  </si>
  <si>
    <t>jay-m.daligdig@msugensan.edu.ph</t>
  </si>
  <si>
    <t>2023-0941</t>
  </si>
  <si>
    <t>DELA CRUZ, LYLDEO M.</t>
  </si>
  <si>
    <t>lyldeo.delacruz@msugensan.edu.ph</t>
  </si>
  <si>
    <t>2023-1160</t>
  </si>
  <si>
    <t>ESPAÑOLA, KEITH LUISA G.</t>
  </si>
  <si>
    <t>keithluisa.espanola@msugensan.edu.ph</t>
  </si>
  <si>
    <t>2023-1165</t>
  </si>
  <si>
    <t>ESPULGAR, NAIFA FAITH G.</t>
  </si>
  <si>
    <t>naifafaith.espulgar@msugensan.edu.ph</t>
  </si>
  <si>
    <t>2023-1173</t>
  </si>
  <si>
    <t>ESTREBILLA, BRIAR ROSE A.</t>
  </si>
  <si>
    <t>briarrose.estrebilla@msugensan.edu.ph</t>
  </si>
  <si>
    <t>2023-1188</t>
  </si>
  <si>
    <t>FACURIB, JHONBERT U.</t>
  </si>
  <si>
    <t>jhonbert.facurib@msugensan.edu.ph</t>
  </si>
  <si>
    <t>2023-1250</t>
  </si>
  <si>
    <t>FOCBIT, ADRIAN DAVE</t>
  </si>
  <si>
    <t>adriandave.focbit@msugensan.edu.ph</t>
  </si>
  <si>
    <t>2023-1279</t>
  </si>
  <si>
    <t>GALANIDO, ASHLEE J.</t>
  </si>
  <si>
    <t>ashlee.galanido@msugensan.edu.ph</t>
  </si>
  <si>
    <t>2023-1325</t>
  </si>
  <si>
    <t>GATINAO, ALTHEA DWYNE C.</t>
  </si>
  <si>
    <t>altheadwyne.gatinao@msugensan.edu.ph</t>
  </si>
  <si>
    <t>2023-1616</t>
  </si>
  <si>
    <t>LAGANG, PATRICK JAMES M.</t>
  </si>
  <si>
    <t>patrickjames.lagang@msugensan.edu.ph</t>
  </si>
  <si>
    <t>2023-1627</t>
  </si>
  <si>
    <t>LAMOSAO, JAMES BIRCHARD S.</t>
  </si>
  <si>
    <t>jamesbirchard.lamosao@msugensan.edu.ph</t>
  </si>
  <si>
    <t>2023-1638</t>
  </si>
  <si>
    <t>LANGUB, JAMIE DIANE H.</t>
  </si>
  <si>
    <t>jamiediane.langub@msugensan.edu.ph</t>
  </si>
  <si>
    <t>2023-1804</t>
  </si>
  <si>
    <t>MACEDA, JHON ALEX N.</t>
  </si>
  <si>
    <t>jhonalex.maceda@msugensan.edu.ph</t>
  </si>
  <si>
    <t>2023-4777</t>
  </si>
  <si>
    <t>MEDEL, CHRISTINE IRA</t>
  </si>
  <si>
    <t>christineira.medel@msugensan.edu.ph</t>
  </si>
  <si>
    <t>2023-2114</t>
  </si>
  <si>
    <t>NORCA, NASHTY PSALM M.</t>
  </si>
  <si>
    <t>nashtypsalm.norca@msugensan.edu.ph</t>
  </si>
  <si>
    <t>2023-2129</t>
  </si>
  <si>
    <t>ODONZO, LAURENCE JEFF C.</t>
  </si>
  <si>
    <t>laurencejeff.odonzo@msugensan.edu.ph</t>
  </si>
  <si>
    <t>2023-4779</t>
  </si>
  <si>
    <t>OMONGOS, RYAN JADE</t>
  </si>
  <si>
    <t>ryanjade.omongos@msugensan.edu.ph</t>
  </si>
  <si>
    <t>2023-2239</t>
  </si>
  <si>
    <t>PALMA, NASH B.</t>
  </si>
  <si>
    <t>nash.palma@msugensan.edu.ph</t>
  </si>
  <si>
    <t>2023-2720</t>
  </si>
  <si>
    <t>SEMILLA, JADE G.</t>
  </si>
  <si>
    <t>jade.semilla@msugensan.edu.ph</t>
  </si>
  <si>
    <t>2023-2802</t>
  </si>
  <si>
    <t>SULILAP, KENNY MACJEWR T.</t>
  </si>
  <si>
    <t>kennymacjewr.sulilap@msugensan.edu.ph</t>
  </si>
  <si>
    <t>2023-2827</t>
  </si>
  <si>
    <t>TABALINA, ZYDRIX N.</t>
  </si>
  <si>
    <t>zydrix.tabalina@msugensan.edu.ph</t>
  </si>
  <si>
    <t>2023-2846</t>
  </si>
  <si>
    <t>TALABAN, KENNETH LAURENCE M.</t>
  </si>
  <si>
    <t>kennethlaurence.talaban@msugensan.edu.ph</t>
  </si>
  <si>
    <t>2023-2897</t>
  </si>
  <si>
    <t>TAURO, JOSEPH BENDICT M.</t>
  </si>
  <si>
    <t>josephbendict.tauro@msugensan.edu.ph</t>
  </si>
  <si>
    <t>2023-2898</t>
  </si>
  <si>
    <t>TAURO, RICHELLE MAE A.</t>
  </si>
  <si>
    <t>richellemae.tauro@msugensan.edu.ph</t>
  </si>
  <si>
    <t>2023-2908</t>
  </si>
  <si>
    <t>TELEN, EMMANUEL O.</t>
  </si>
  <si>
    <t>emmanuel.telen@msugensan.edu.ph</t>
  </si>
  <si>
    <t>2023-3066</t>
  </si>
  <si>
    <t>VILLAFRANCA, KYLE RAMZIL M.</t>
  </si>
  <si>
    <t>kyleramzil.villafranca@msugensan.edu.ph</t>
  </si>
  <si>
    <t>2022-0065</t>
  </si>
  <si>
    <t>ALABA, DECEBRELLE MARNY</t>
  </si>
  <si>
    <t>decebrellemarny.alaba@msugensan.edu.ph</t>
  </si>
  <si>
    <t>2022-0086</t>
  </si>
  <si>
    <t>ALID, ZHOHART</t>
  </si>
  <si>
    <t>zhohart.alid@msugensan.edu.ph</t>
  </si>
  <si>
    <t>2022-0179</t>
  </si>
  <si>
    <t>ARDANIEL, ELLAIGNE CLYRE</t>
  </si>
  <si>
    <t>ellaigneclyre.ardaniel@msugensan.edu.ph</t>
  </si>
  <si>
    <t>2022-0416</t>
  </si>
  <si>
    <t>CADAVIDO, ALYN GRACE S.</t>
  </si>
  <si>
    <t>alyngrace.cadavido@msugensan.edu.ph</t>
  </si>
  <si>
    <t>2022-0420</t>
  </si>
  <si>
    <t>CAGAS, JEZREEL P.</t>
  </si>
  <si>
    <t>jezreel.cagas@msugensan.edu.ph</t>
  </si>
  <si>
    <t>2022-0648</t>
  </si>
  <si>
    <t>DELA CRUZ, LUVLY JZWIN</t>
  </si>
  <si>
    <t>luvlyjzwin.delacruz@msugensan.edu.ph</t>
  </si>
  <si>
    <t>2022-0693</t>
  </si>
  <si>
    <t>DIANTAN, ALMYR</t>
  </si>
  <si>
    <t>almyr.diantan@msugensan.edu.ph</t>
  </si>
  <si>
    <t>2022-0727</t>
  </si>
  <si>
    <t>DONAIRE, JOVANIE, JR.</t>
  </si>
  <si>
    <t>jovanie.donaire@msugensan.edu.ph</t>
  </si>
  <si>
    <t>2021-0821</t>
  </si>
  <si>
    <t>DUCAY, BRIDGETTE</t>
  </si>
  <si>
    <t>bridgette.ducay@msugensan.edu.ph</t>
  </si>
  <si>
    <t>2021-0900</t>
  </si>
  <si>
    <t>ESTAÑO, KRISTOFFER</t>
  </si>
  <si>
    <t>kristoffer.estano@msugensan.edu.ph</t>
  </si>
  <si>
    <t>2022-0826</t>
  </si>
  <si>
    <t>EUROLFAN, SAL VINCENT</t>
  </si>
  <si>
    <t>salvincent.eurolfan@msugensan.edu.ph</t>
  </si>
  <si>
    <t>2022-0845</t>
  </si>
  <si>
    <t>FELONGCO, SUNSHINE</t>
  </si>
  <si>
    <t>sunshine.felongco@msugensan.edu.ph</t>
  </si>
  <si>
    <t>2022-0913</t>
  </si>
  <si>
    <t>GAMPAL, KRYSTAL SHANE</t>
  </si>
  <si>
    <t>krystalshane.gampal@msugensan.edu.ph</t>
  </si>
  <si>
    <t>2022-1055</t>
  </si>
  <si>
    <t>JAUDINES, JERWIN B.</t>
  </si>
  <si>
    <t>jerwin.jaudines@msugensan.edu.ph</t>
  </si>
  <si>
    <t>2022-1131</t>
  </si>
  <si>
    <t>LAIZ, PAUL VINCENT A.</t>
  </si>
  <si>
    <t>paulvincent.laiz@msugensan.edu.ph</t>
  </si>
  <si>
    <t>2022-1276</t>
  </si>
  <si>
    <t>MADRES, VIANCE ELMER</t>
  </si>
  <si>
    <t>vianceelmer.madres@msugensan.edu.ph</t>
  </si>
  <si>
    <t>2022-1461</t>
  </si>
  <si>
    <t>NONO, JONAS</t>
  </si>
  <si>
    <t>jonas.nono@msugensan.edu.ph</t>
  </si>
  <si>
    <t>2022-3203</t>
  </si>
  <si>
    <t>ORING, ISSANICA</t>
  </si>
  <si>
    <t>issanica.oring@msugensan.edu.ph</t>
  </si>
  <si>
    <t>2022-1662</t>
  </si>
  <si>
    <t>POTESTAD, HELEN MAE</t>
  </si>
  <si>
    <t>helenmae.potestad@msugensan.edu.ph</t>
  </si>
  <si>
    <t>2022-1829</t>
  </si>
  <si>
    <t>SAM, CHARMAINE DIANNE</t>
  </si>
  <si>
    <t>charmainedianne.sam@msugensan.edu.ph</t>
  </si>
  <si>
    <t>2022-1875</t>
  </si>
  <si>
    <t>SATAGO, JOHN BERG</t>
  </si>
  <si>
    <t>johnberg.satago@msugensan.edu.ph</t>
  </si>
  <si>
    <t>2022-1883</t>
  </si>
  <si>
    <t>SAYSON, LYKA MARIELLE</t>
  </si>
  <si>
    <t>lykamarielle.sayson@msugensan.edu.ph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</si>
</sst>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DLaM Display"/>
    </font>
    <font>
      <sz val="24"/>
      <color theme="1"/>
      <name val="ADLaM Display"/>
    </font>
    <font>
      <b/>
      <sz val="11"/>
      <color rgb="FF1F1F1F"/>
      <name val="Arial"/>
      <family val="2"/>
    </font>
    <font>
      <sz val="36"/>
      <color theme="1"/>
      <name val="Bernard MT Condensed"/>
      <family val="1"/>
    </font>
    <font>
      <sz val="11"/>
      <color rgb="FF242424"/>
      <name val="Aptos Narrow"/>
      <family val="2"/>
    </font>
    <font>
      <sz val="11"/>
      <color rgb="FF1F1F1F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Arial Unicode MS"/>
      <family val="2"/>
    </font>
    <font>
      <sz val="20"/>
      <color rgb="FF9C0006"/>
      <name val="Calibri"/>
      <family val="2"/>
      <scheme val="minor"/>
    </font>
    <font>
      <b/>
      <sz val="36"/>
      <color theme="1"/>
      <name val="Arial"/>
      <family val="2"/>
    </font>
    <font>
      <sz val="12"/>
      <color theme="1"/>
      <name val="Garamond"/>
    </font>
    <font>
      <u/>
      <sz val="12"/>
      <color theme="1"/>
      <name val="Garamond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8" borderId="0" applyNumberFormat="0" applyBorder="0" applyAlignment="0" applyProtection="0"/>
  </cellStyleXfs>
  <cellXfs count="7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3" borderId="2" xfId="0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5" fillId="2" borderId="0" xfId="0" applyFont="1" applyFill="1"/>
    <xf numFmtId="0" fontId="4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2" fontId="7" fillId="0" borderId="0" xfId="0" applyNumberFormat="1" applyFont="1"/>
    <xf numFmtId="0" fontId="8" fillId="0" borderId="0" xfId="0" applyFont="1"/>
    <xf numFmtId="0" fontId="9" fillId="0" borderId="7" xfId="0" applyFont="1" applyBorder="1" applyAlignment="1">
      <alignment readingOrder="1"/>
    </xf>
    <xf numFmtId="0" fontId="10" fillId="0" borderId="0" xfId="0" applyFont="1"/>
    <xf numFmtId="14" fontId="11" fillId="0" borderId="0" xfId="0" applyNumberFormat="1" applyFont="1"/>
    <xf numFmtId="0" fontId="6" fillId="0" borderId="8" xfId="0" applyFont="1" applyBorder="1" applyAlignment="1">
      <alignment horizontal="center" vertical="center" readingOrder="1"/>
    </xf>
    <xf numFmtId="2" fontId="6" fillId="0" borderId="8" xfId="0" applyNumberFormat="1" applyFont="1" applyBorder="1" applyAlignment="1">
      <alignment horizontal="center" vertical="center" readingOrder="1"/>
    </xf>
    <xf numFmtId="2" fontId="9" fillId="0" borderId="7" xfId="0" applyNumberFormat="1" applyFont="1" applyBorder="1" applyAlignment="1">
      <alignment readingOrder="1"/>
    </xf>
    <xf numFmtId="2" fontId="10" fillId="0" borderId="0" xfId="0" applyNumberFormat="1" applyFont="1"/>
    <xf numFmtId="2" fontId="0" fillId="0" borderId="0" xfId="0" applyNumberFormat="1"/>
    <xf numFmtId="14" fontId="6" fillId="0" borderId="8" xfId="0" applyNumberFormat="1" applyFont="1" applyBorder="1" applyAlignment="1">
      <alignment horizontal="center" vertical="center" readingOrder="1"/>
    </xf>
    <xf numFmtId="0" fontId="13" fillId="7" borderId="0" xfId="0" applyFont="1" applyFill="1" applyAlignment="1" applyProtection="1">
      <alignment horizontal="center" vertical="center"/>
      <protection locked="0"/>
    </xf>
    <xf numFmtId="0" fontId="13" fillId="7" borderId="0" xfId="0" applyFont="1" applyFill="1" applyAlignment="1" applyProtection="1">
      <alignment horizontal="center" vertical="center" indent="1"/>
      <protection locked="0"/>
    </xf>
    <xf numFmtId="0" fontId="13" fillId="7" borderId="0" xfId="0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2" fontId="14" fillId="0" borderId="0" xfId="0" applyNumberFormat="1" applyFont="1"/>
    <xf numFmtId="0" fontId="15" fillId="9" borderId="0" xfId="0" applyFont="1" applyFill="1"/>
    <xf numFmtId="2" fontId="17" fillId="0" borderId="0" xfId="0" applyNumberFormat="1" applyFont="1"/>
    <xf numFmtId="2" fontId="18" fillId="8" borderId="0" xfId="2" applyNumberFormat="1" applyFont="1"/>
    <xf numFmtId="10" fontId="16" fillId="0" borderId="0" xfId="0" applyNumberFormat="1" applyFont="1"/>
    <xf numFmtId="0" fontId="19" fillId="0" borderId="0" xfId="0" applyFont="1" applyProtection="1">
      <protection locked="0"/>
    </xf>
    <xf numFmtId="2" fontId="9" fillId="0" borderId="9" xfId="0" applyNumberFormat="1" applyFont="1" applyBorder="1" applyAlignment="1">
      <alignment readingOrder="1"/>
    </xf>
    <xf numFmtId="0" fontId="20" fillId="6" borderId="4" xfId="0" applyFont="1" applyFill="1" applyBorder="1" applyAlignment="1">
      <alignment readingOrder="1"/>
    </xf>
    <xf numFmtId="0" fontId="13" fillId="7" borderId="10" xfId="0" applyFont="1" applyFill="1" applyBorder="1" applyAlignment="1" applyProtection="1">
      <alignment horizontal="center" vertical="center"/>
      <protection locked="0"/>
    </xf>
    <xf numFmtId="0" fontId="13" fillId="7" borderId="11" xfId="0" applyFont="1" applyFill="1" applyBorder="1" applyAlignment="1" applyProtection="1">
      <alignment horizontal="center" vertical="center"/>
      <protection locked="0"/>
    </xf>
    <xf numFmtId="0" fontId="13" fillId="7" borderId="12" xfId="0" applyFont="1" applyFill="1" applyBorder="1" applyAlignment="1" applyProtection="1">
      <alignment horizontal="center" vertical="center"/>
      <protection locked="0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5" borderId="0" xfId="0" applyFill="1"/>
    <xf numFmtId="0" fontId="20" fillId="5" borderId="4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left" vertical="center" readingOrder="1"/>
    </xf>
    <xf numFmtId="0" fontId="20" fillId="5" borderId="4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5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5" borderId="4" xfId="0" applyFont="1" applyFill="1" applyBorder="1" applyAlignment="1">
      <alignment horizontal="left" readingOrder="1"/>
    </xf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4" borderId="0" xfId="0" applyFill="1"/>
    <xf numFmtId="0" fontId="20" fillId="4" borderId="4" xfId="0" applyFont="1" applyFill="1" applyBorder="1" applyAlignment="1">
      <alignment horizontal="center"/>
    </xf>
    <xf numFmtId="0" fontId="20" fillId="4" borderId="4" xfId="0" applyFont="1" applyFill="1" applyBorder="1"/>
    <xf numFmtId="0" fontId="20" fillId="4" borderId="4" xfId="0" applyFont="1" applyFill="1" applyBorder="1" applyProtection="1">
      <protection locked="0"/>
    </xf>
    <xf numFmtId="0" fontId="20" fillId="4" borderId="4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0" borderId="4" xfId="0" applyFont="1" applyFill="1" applyBorder="1" applyAlignment="1">
      <alignment horizontal="center"/>
    </xf>
    <xf numFmtId="0" fontId="20" fillId="10" borderId="4" xfId="0" applyFont="1" applyFill="1" applyBorder="1" applyAlignment="1">
      <alignment readingOrder="1"/>
    </xf>
    <xf numFmtId="0" fontId="20" fillId="10" borderId="4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0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" xfId="0" applyFont="1" applyFill="1" applyBorder="1" applyAlignment="1">
      <alignment horizontal="center"/>
    </xf>
    <xf numFmtId="0" fontId="20" fillId="6" borderId="4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6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1" borderId="4" xfId="0" applyFont="1" applyFill="1" applyBorder="1" applyAlignment="1">
      <alignment horizontal="center"/>
    </xf>
    <xf numFmtId="0" fontId="20" fillId="11" borderId="4" xfId="0" applyFont="1" applyFill="1" applyBorder="1" applyAlignment="1">
      <alignment readingOrder="1"/>
    </xf>
    <xf numFmtId="0" fontId="20" fillId="11" borderId="4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1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1" borderId="4" xfId="0" applyFont="1" applyFill="1" applyBorder="1" applyAlignment="1">
      <alignment vertical="center" readingOrder="1"/>
    </xf>
    <xf numFmtId="0" fontId="20" fillId="11" borderId="4" xfId="0" applyFont="1" applyFill="1" applyBorder="1" applyAlignment="1">
      <alignment horizontal="left" vertical="center" readingOrder="1"/>
    </xf>
    <xf numFmtId="0" fontId="21" fillId="5" borderId="4" xfId="1" applyFont="1" applyFill="1" applyBorder="1" applyAlignment="1" applyProtection="1">
      <alignment horizontal="left" readingOrder="1"/>
    </xf>
    <xf numFmtId="0" fontId="21" fillId="6" borderId="4" xfId="1" applyFont="1" applyFill="1" applyBorder="1" applyAlignment="1" applyProtection="1">
      <alignment readingOrder="1"/>
    </xf>
  </cellXfs>
  <cellStyles count="3">
    <cellStyle name="Bad" xfId="2" builtinId="27"/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none"/>
      </font>
      <numFmt numFmtId="2" formatCode="0.00"/>
      <alignment horizontal="general" vertical="bottom" textRotation="0" wrapText="0" indent="0" justifyLastLine="0" shrinkToFit="0" readingOrder="1"/>
      <border diagonalUp="0" diagonalDown="0"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border outline="0">
        <bottom style="thin">
          <color rgb="FFC4C7C5"/>
        </bottom>
      </border>
    </dxf>
    <dxf>
      <border outline="0">
        <top style="thin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38100</xdr:rowOff>
    </xdr:from>
    <xdr:to>
      <xdr:col>6</xdr:col>
      <xdr:colOff>866775</xdr:colOff>
      <xdr:row>1</xdr:row>
      <xdr:rowOff>866775</xdr:rowOff>
    </xdr:to>
    <xdr:sp macro="" textlink="">
      <xdr:nvSpPr>
        <xdr:cNvPr id="16" name="Rounded Rectangle 4">
          <a:extLst>
            <a:ext uri="{FF2B5EF4-FFF2-40B4-BE49-F238E27FC236}">
              <a16:creationId xmlns:a16="http://schemas.microsoft.com/office/drawing/2014/main" id="{4605E182-639C-4F6A-BDEA-7BC0959F7BA0}"/>
            </a:ext>
            <a:ext uri="{147F2762-F138-4A5C-976F-8EAC2B608ADB}">
              <a16:predDERef xmlns:a16="http://schemas.microsoft.com/office/drawing/2014/main" pred="{0BA15144-C8D8-4C47-BD06-BDDCDB90E2F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c3VnZW5zYW4yLW15LnNoYXJlcG9pbnQuY29tLzp1Oi9nL3BlcnNvbmFsL3NlbGVuc19tc3VnZW5zYW4yX29ubWljcm9zb2Z0X2NvbS9JUUFYcFlkdXRaZTlScWh3V3NwTlkyLTJBUkxQY0dkRG81Y3FKUjZTSE1wbFlyVQ&quot;}"/>
            </a:ext>
          </a:extLst>
        </xdr:cNvPr>
        <xdr:cNvSpPr/>
      </xdr:nvSpPr>
      <xdr:spPr>
        <a:xfrm>
          <a:off x="12696825" y="228600"/>
          <a:ext cx="866775" cy="828675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>
              <a:solidFill>
                <a:schemeClr val="lt1"/>
              </a:solidFill>
              <a:latin typeface="Bernard MT Condensed" panose="02050806060905020404" pitchFamily="18" charset="0"/>
            </a:rPr>
            <a:t>Paid For 1 Fine</a:t>
          </a:r>
        </a:p>
      </xdr:txBody>
    </xdr:sp>
    <xdr:clientData/>
  </xdr:twoCellAnchor>
  <xdr:twoCellAnchor>
    <xdr:from>
      <xdr:col>7</xdr:col>
      <xdr:colOff>9525</xdr:colOff>
      <xdr:row>1</xdr:row>
      <xdr:rowOff>28575</xdr:rowOff>
    </xdr:from>
    <xdr:to>
      <xdr:col>7</xdr:col>
      <xdr:colOff>914400</xdr:colOff>
      <xdr:row>1</xdr:row>
      <xdr:rowOff>866775</xdr:rowOff>
    </xdr:to>
    <xdr:sp macro="" textlink="">
      <xdr:nvSpPr>
        <xdr:cNvPr id="17" name="Rounded Rectangle 2">
          <a:extLst>
            <a:ext uri="{FF2B5EF4-FFF2-40B4-BE49-F238E27FC236}">
              <a16:creationId xmlns:a16="http://schemas.microsoft.com/office/drawing/2014/main" id="{A4D8B091-FE98-4963-BA72-09F13FC0F80D}"/>
            </a:ext>
            <a:ext uri="{147F2762-F138-4A5C-976F-8EAC2B608ADB}">
              <a16:predDERef xmlns:a16="http://schemas.microsoft.com/office/drawing/2014/main" pred="{4605E182-639C-4F6A-BDEA-7BC0959F7BA0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c3VnZW5zYW4yLW15LnNoYXJlcG9pbnQuY29tLzp1Oi9nL3BlcnNvbmFsL3NlbGVuc19tc3VnZW5zYW4yX29ubWljcm9zb2Z0X2NvbS9JUUJ0Q09XMEhabDVSYmtEazltUnB6bTBBZm81UnFGVWZtQ2dySk5aeGV1bkhwTQ&quot;}"/>
            </a:ext>
          </a:extLst>
        </xdr:cNvPr>
        <xdr:cNvSpPr/>
      </xdr:nvSpPr>
      <xdr:spPr>
        <a:xfrm>
          <a:off x="13601700" y="219075"/>
          <a:ext cx="904875" cy="838200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>
              <a:solidFill>
                <a:schemeClr val="lt1"/>
              </a:solidFill>
              <a:latin typeface="Bernard MT Condensed" panose="02050806060905020404" pitchFamily="18" charset="0"/>
            </a:rPr>
            <a:t>Revert to Unpaid</a:t>
          </a:r>
        </a:p>
      </xdr:txBody>
    </xdr:sp>
    <xdr:clientData/>
  </xdr:twoCellAnchor>
  <xdr:twoCellAnchor>
    <xdr:from>
      <xdr:col>5</xdr:col>
      <xdr:colOff>9525</xdr:colOff>
      <xdr:row>1</xdr:row>
      <xdr:rowOff>19050</xdr:rowOff>
    </xdr:from>
    <xdr:to>
      <xdr:col>5</xdr:col>
      <xdr:colOff>1971675</xdr:colOff>
      <xdr:row>1</xdr:row>
      <xdr:rowOff>847725</xdr:rowOff>
    </xdr:to>
    <xdr:sp macro="" textlink="">
      <xdr:nvSpPr>
        <xdr:cNvPr id="26" name="Rounded Rectangle 5">
          <a:extLst>
            <a:ext uri="{FF2B5EF4-FFF2-40B4-BE49-F238E27FC236}">
              <a16:creationId xmlns:a16="http://schemas.microsoft.com/office/drawing/2014/main" id="{CD963D39-64EF-4741-9840-5DA0207159FA}"/>
            </a:ext>
            <a:ext uri="{147F2762-F138-4A5C-976F-8EAC2B608ADB}">
              <a16:predDERef xmlns:a16="http://schemas.microsoft.com/office/drawing/2014/main" pred="{A4D8B091-FE98-4963-BA72-09F13FC0F80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c3VnZW5zYW4yLW15LnNoYXJlcG9pbnQuY29tLzp1Oi9nL3BlcnNvbmFsL3NlbGVuc19tc3VnZW5zYW4yX29ubWljcm9zb2Z0X2NvbS9JUURwNGFTMEZTc1dRcktOMXhOZjVkakZBVEJTcUdlSTY5MFZuOThNMEVYR2cxVQ&quot;}"/>
            </a:ext>
          </a:extLst>
        </xdr:cNvPr>
        <xdr:cNvSpPr/>
      </xdr:nvSpPr>
      <xdr:spPr>
        <a:xfrm>
          <a:off x="10696575" y="209550"/>
          <a:ext cx="1962150" cy="82867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>
              <a:solidFill>
                <a:schemeClr val="lt1"/>
              </a:solidFill>
              <a:latin typeface="Bernard MT Condensed" panose="02050806060905020404" pitchFamily="18" charset="0"/>
            </a:rPr>
            <a:t>Mark As Paid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124385</xdr:colOff>
      <xdr:row>1</xdr:row>
      <xdr:rowOff>80683</xdr:rowOff>
    </xdr:from>
    <xdr:to>
      <xdr:col>0</xdr:col>
      <xdr:colOff>2812676</xdr:colOff>
      <xdr:row>4</xdr:row>
      <xdr:rowOff>156882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0D20B64-1895-4DDF-A77A-438BC08711E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c3VnZW5zYW4yLW15LnNoYXJlcG9pbnQuY29tLzp1Oi9nL3BlcnNvbmFsL3NlbGVuc19tc3VnZW5zYW4yX29ubWljcm9zb2Z0X2NvbS9JUUNzTExiVEgtTGZSYWM3ajJCdlc5M2VBZGdOTHFDcUZYQldwT1pwb1I5Ymhoaw&quot;}"/>
            </a:ext>
          </a:extLst>
        </xdr:cNvPr>
        <xdr:cNvSpPr/>
      </xdr:nvSpPr>
      <xdr:spPr>
        <a:xfrm>
          <a:off x="124385" y="809065"/>
          <a:ext cx="2688291" cy="78217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Process Attendance</a:t>
          </a:r>
        </a:p>
      </xdr:txBody>
    </xdr:sp>
    <xdr:clientData/>
  </xdr:twoCellAnchor>
  <xdr:twoCellAnchor>
    <xdr:from>
      <xdr:col>1</xdr:col>
      <xdr:colOff>85725</xdr:colOff>
      <xdr:row>1</xdr:row>
      <xdr:rowOff>85725</xdr:rowOff>
    </xdr:from>
    <xdr:to>
      <xdr:col>2</xdr:col>
      <xdr:colOff>2066925</xdr:colOff>
      <xdr:row>4</xdr:row>
      <xdr:rowOff>133350</xdr:rowOff>
    </xdr:to>
    <xdr:sp macro="" textlink="">
      <xdr:nvSpPr>
        <xdr:cNvPr id="9" name="Rounded Rectangle 1">
          <a:extLst>
            <a:ext uri="{FF2B5EF4-FFF2-40B4-BE49-F238E27FC236}">
              <a16:creationId xmlns:a16="http://schemas.microsoft.com/office/drawing/2014/main" id="{6FF30E46-0557-4BB2-9BBC-5E4BC5F5E352}"/>
            </a:ext>
            <a:ext uri="{147F2762-F138-4A5C-976F-8EAC2B608ADB}">
              <a16:predDERef xmlns:a16="http://schemas.microsoft.com/office/drawing/2014/main" pred="{80D20B64-1895-4DDF-A77A-438BC08711E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c3VnZW5zYW4yLW15LnNoYXJlcG9pbnQuY29tLzp1Oi9nL3BlcnNvbmFsL3NlbGVuc19tc3VnZW5zYW4yX29ubWljcm9zb2Z0X2NvbS9JUURGaVVyYnAxQ3NTcE5NNTlpaGJidGFBV2NTcFBlX2FQbXdHMmo1cmRIOG1QRQ&quot;}"/>
            </a:ext>
          </a:extLst>
        </xdr:cNvPr>
        <xdr:cNvSpPr/>
      </xdr:nvSpPr>
      <xdr:spPr>
        <a:xfrm>
          <a:off x="3019425" y="819150"/>
          <a:ext cx="3009900" cy="857250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Undo Last Attendance Run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83DC9-FF84-46A7-82FB-0EF44E365FDD}" name="FinesTable" displayName="FinesTable" ref="A1:I68" insertRowShift="1" totalsRowShown="0">
  <autoFilter ref="A1:I68" xr:uid="{E6B83DC9-FF84-46A7-82FB-0EF44E365FDD}"/>
  <sortState xmlns:xlrd2="http://schemas.microsoft.com/office/spreadsheetml/2017/richdata2" ref="A2:I68">
    <sortCondition ref="C1:C68"/>
  </sortState>
  <tableColumns count="9">
    <tableColumn id="1" xr3:uid="{E7CB5F00-D4DE-4B82-8B92-630E169E9E9C}" name="TXN ID"/>
    <tableColumn id="2" xr3:uid="{4E6AA36E-97DE-4813-9EC6-6E48EBCEF960}" name="Student ID"/>
    <tableColumn id="3" xr3:uid="{0490743F-5E49-472B-BE89-4BDD581D12C8}" name="Full Name"/>
    <tableColumn id="4" xr3:uid="{EC2FF5B2-280E-4652-B1F2-AE94A7DE7B66}" name="Email Address"/>
    <tableColumn id="5" xr3:uid="{A7AEF770-285A-4660-9488-AAFDDA0F5E67}" name="Event / Offense"/>
    <tableColumn id="6" xr3:uid="{58535FED-FCBB-4098-A537-9B127FBCEDDF}" name="Fine Amount"/>
    <tableColumn id="7" xr3:uid="{2323D450-CD93-4746-AAC7-4568CA4AFD2D}" name="Date" dataDxfId="15"/>
    <tableColumn id="8" xr3:uid="{DE407036-1541-4A53-93C8-3F1433AF8B65}" name="Status"/>
    <tableColumn id="9" xr3:uid="{9ED24E58-8ECE-4C6F-BFB3-03C0DD0DA24D}" name="Date Pa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E016FA-AEA2-40DC-ACFE-64A0769985FC}" name="FineRatesTable" displayName="FineRatesTable" ref="A1:D5" totalsRowShown="0" headerRowDxfId="14" headerRowBorderDxfId="12" tableBorderDxfId="13">
  <autoFilter ref="A1:D5" xr:uid="{85E016FA-AEA2-40DC-ACFE-64A0769985FC}"/>
  <tableColumns count="4">
    <tableColumn id="1" xr3:uid="{E8B22736-C405-4333-9030-15CE96994311}" name="Fine #"/>
    <tableColumn id="2" xr3:uid="{2EB9E75E-FFBC-4A55-8E9E-C7BD395FE620}" name="Event / Offense"/>
    <tableColumn id="3" xr3:uid="{F458638E-54C3-41E2-9B90-1D5F4CB7895B}" name="Default Fine (PHP)" dataDxfId="11"/>
    <tableColumn id="4" xr3:uid="{89C2A420-2092-40C5-8B65-AF6A66FCEB95}" name="Event Date" dataDxfId="1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24EC4A-8269-4D09-AE40-EE6802E2190E}" name="AttendanceTable" displayName="AttendanceTable" ref="A1:H314" totalsRowShown="0" headerRowDxfId="9" dataDxfId="8">
  <autoFilter ref="A1:H314" xr:uid="{2024EC4A-8269-4D09-AE40-EE6802E2190E}"/>
  <tableColumns count="8">
    <tableColumn id="1" xr3:uid="{F81BCE16-F87C-4CDF-B45C-B3617C282FEC}" name="NO" dataDxfId="7"/>
    <tableColumn id="2" xr3:uid="{60B2DFB2-35DD-41EF-8D24-B7BFF0A10A68}" name="Student ID" dataDxfId="6"/>
    <tableColumn id="3" xr3:uid="{F748A04C-28A5-4CEC-9158-2092D3604189}" name="Full Name" dataDxfId="5"/>
    <tableColumn id="4" xr3:uid="{E9BF663E-9F78-4E28-B65D-2DDAD0B5344D}" name="Email Address" dataDxfId="4"/>
    <tableColumn id="5" xr3:uid="{86443211-A6AB-48FD-A9A5-007D1C1EDBC2}" name="Fine 1" dataDxfId="3"/>
    <tableColumn id="6" xr3:uid="{C2CC1DC2-03F7-4920-B910-00E0A26DF5B0}" name="Fine 2" dataDxfId="2"/>
    <tableColumn id="7" xr3:uid="{C9BB01EF-AD43-47FE-8C1C-C8493BA3EAB6}" name="Fine 3" dataDxfId="1"/>
    <tableColumn id="8" xr3:uid="{C889F46E-C931-4E83-8825-42E85683C42E}" name="Fine 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clarkjustine.aaron@msugensan.edu.ph" TargetMode="External"/><Relationship Id="rId1" Type="http://schemas.openxmlformats.org/officeDocument/2006/relationships/hyperlink" Target="mailto:ashlee.galanido@msugensan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4765-CD7F-4036-8A5D-6E067613B288}">
  <sheetPr>
    <tabColor rgb="FFFF0000"/>
  </sheetPr>
  <dimension ref="A1:A3"/>
  <sheetViews>
    <sheetView workbookViewId="0">
      <selection activeCell="G31" sqref="G31"/>
    </sheetView>
  </sheetViews>
  <sheetFormatPr defaultRowHeight="15"/>
  <cols>
    <col min="1" max="1" width="26.28515625" customWidth="1"/>
  </cols>
  <sheetData>
    <row r="1" spans="1:1">
      <c r="A1" t="s">
        <v>0</v>
      </c>
    </row>
    <row r="2" spans="1:1">
      <c r="A2" t="s">
        <v>1</v>
      </c>
    </row>
    <row r="3" spans="1:1">
      <c r="A3" s="15" t="s">
        <v>2</v>
      </c>
    </row>
  </sheetData>
  <sheetProtection algorithmName="SHA-512" hashValue="2A71Qn0Keq+Tgq12MU0CD9VOygkGEW/9ZbUjaMiTbur7WL/8cSsJh/AgOIGjUY/eumKpmAhUMnhbLhzOpSIL/g==" saltValue="48ZE9Tu/5OvlwbqTynKfE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22E2-A9D7-49D9-A127-08AE481F2D73}">
  <sheetPr>
    <tabColor rgb="FF0070C0"/>
  </sheetPr>
  <dimension ref="A1:I68"/>
  <sheetViews>
    <sheetView workbookViewId="0">
      <selection activeCell="F27" sqref="F27"/>
    </sheetView>
  </sheetViews>
  <sheetFormatPr defaultRowHeight="15"/>
  <cols>
    <col min="1" max="1" width="15.85546875" customWidth="1"/>
    <col min="2" max="2" width="18.5703125" customWidth="1"/>
    <col min="3" max="3" width="37.140625" customWidth="1"/>
    <col min="4" max="4" width="48" customWidth="1"/>
    <col min="5" max="5" width="33.42578125" customWidth="1"/>
    <col min="6" max="6" width="14.85546875" customWidth="1"/>
    <col min="7" max="7" width="12.28515625" style="1" customWidth="1"/>
    <col min="8" max="8" width="9.85546875" customWidth="1"/>
    <col min="9" max="9" width="26.42578125" customWidth="1"/>
  </cols>
  <sheetData>
    <row r="1" spans="1: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s="1" t="s">
        <v>9</v>
      </c>
      <c r="H1" t="s">
        <v>10</v>
      </c>
      <c r="I1" t="s">
        <v>11</v>
      </c>
    </row>
    <row r="2" spans="1:9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100</v>
      </c>
      <c r="G2" s="1">
        <v>45957</v>
      </c>
      <c r="H2" t="s">
        <v>1</v>
      </c>
      <c r="I2" s="1"/>
    </row>
    <row r="3" spans="1:9">
      <c r="A3" t="s">
        <v>17</v>
      </c>
      <c r="B3" t="s">
        <v>13</v>
      </c>
      <c r="C3" t="s">
        <v>14</v>
      </c>
      <c r="D3" t="s">
        <v>15</v>
      </c>
      <c r="E3" t="s">
        <v>18</v>
      </c>
      <c r="F3">
        <v>30</v>
      </c>
      <c r="G3" s="1">
        <v>46055</v>
      </c>
      <c r="H3" t="s">
        <v>1</v>
      </c>
      <c r="I3" s="1"/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18</v>
      </c>
      <c r="F4">
        <v>30</v>
      </c>
      <c r="G4" s="1">
        <v>46055</v>
      </c>
      <c r="H4" t="s">
        <v>2</v>
      </c>
      <c r="I4" s="1">
        <v>46250</v>
      </c>
    </row>
    <row r="5" spans="1:9">
      <c r="A5" t="s">
        <v>23</v>
      </c>
      <c r="B5" t="s">
        <v>24</v>
      </c>
      <c r="C5" t="s">
        <v>25</v>
      </c>
      <c r="D5" t="s">
        <v>26</v>
      </c>
      <c r="E5" t="s">
        <v>18</v>
      </c>
      <c r="F5">
        <v>30</v>
      </c>
      <c r="G5" s="1">
        <v>46055</v>
      </c>
      <c r="H5" t="s">
        <v>1</v>
      </c>
    </row>
    <row r="6" spans="1:9">
      <c r="A6" t="s">
        <v>27</v>
      </c>
      <c r="B6" t="s">
        <v>28</v>
      </c>
      <c r="C6" t="s">
        <v>29</v>
      </c>
      <c r="D6" t="s">
        <v>30</v>
      </c>
      <c r="E6" t="s">
        <v>18</v>
      </c>
      <c r="F6">
        <v>30</v>
      </c>
      <c r="G6" s="1">
        <v>46055</v>
      </c>
      <c r="H6" t="s">
        <v>2</v>
      </c>
      <c r="I6" s="1">
        <v>46250</v>
      </c>
    </row>
    <row r="7" spans="1:9">
      <c r="A7" t="s">
        <v>31</v>
      </c>
      <c r="B7" t="s">
        <v>32</v>
      </c>
      <c r="C7" t="s">
        <v>33</v>
      </c>
      <c r="D7" t="s">
        <v>34</v>
      </c>
      <c r="E7" t="s">
        <v>18</v>
      </c>
      <c r="F7">
        <v>30</v>
      </c>
      <c r="G7" s="1">
        <v>46055</v>
      </c>
      <c r="H7" t="s">
        <v>2</v>
      </c>
      <c r="I7" s="1">
        <v>46250</v>
      </c>
    </row>
    <row r="8" spans="1:9">
      <c r="A8" t="s">
        <v>35</v>
      </c>
      <c r="B8" t="s">
        <v>36</v>
      </c>
      <c r="C8" t="s">
        <v>37</v>
      </c>
      <c r="D8" t="s">
        <v>38</v>
      </c>
      <c r="E8" t="s">
        <v>16</v>
      </c>
      <c r="F8">
        <v>100</v>
      </c>
      <c r="G8" s="1">
        <v>45957</v>
      </c>
      <c r="H8" t="s">
        <v>1</v>
      </c>
    </row>
    <row r="9" spans="1:9">
      <c r="A9" t="s">
        <v>39</v>
      </c>
      <c r="B9" t="s">
        <v>40</v>
      </c>
      <c r="C9" t="s">
        <v>41</v>
      </c>
      <c r="D9" t="s">
        <v>42</v>
      </c>
      <c r="E9" t="s">
        <v>18</v>
      </c>
      <c r="F9">
        <v>30</v>
      </c>
      <c r="G9" s="1">
        <v>46055</v>
      </c>
      <c r="H9" t="s">
        <v>2</v>
      </c>
      <c r="I9" s="1">
        <v>46250</v>
      </c>
    </row>
    <row r="10" spans="1:9">
      <c r="A10" t="s">
        <v>43</v>
      </c>
      <c r="B10" t="s">
        <v>44</v>
      </c>
      <c r="C10" t="s">
        <v>45</v>
      </c>
      <c r="D10" t="s">
        <v>46</v>
      </c>
      <c r="E10" t="s">
        <v>16</v>
      </c>
      <c r="F10">
        <v>100</v>
      </c>
      <c r="G10" s="1">
        <v>45957</v>
      </c>
      <c r="H10" t="s">
        <v>2</v>
      </c>
      <c r="I10" s="1">
        <v>46250</v>
      </c>
    </row>
    <row r="11" spans="1:9">
      <c r="A11" t="s">
        <v>47</v>
      </c>
      <c r="B11" t="s">
        <v>48</v>
      </c>
      <c r="C11" t="s">
        <v>49</v>
      </c>
      <c r="D11" t="s">
        <v>50</v>
      </c>
      <c r="E11" t="s">
        <v>18</v>
      </c>
      <c r="F11">
        <v>30</v>
      </c>
      <c r="G11" s="1">
        <v>46055</v>
      </c>
      <c r="H11" t="s">
        <v>2</v>
      </c>
      <c r="I11" s="1">
        <v>46250</v>
      </c>
    </row>
    <row r="12" spans="1:9">
      <c r="A12" t="s">
        <v>51</v>
      </c>
      <c r="B12" t="s">
        <v>52</v>
      </c>
      <c r="C12" t="s">
        <v>53</v>
      </c>
      <c r="D12" t="s">
        <v>54</v>
      </c>
      <c r="E12" t="s">
        <v>18</v>
      </c>
      <c r="F12">
        <v>30</v>
      </c>
      <c r="G12" s="1">
        <v>46055</v>
      </c>
      <c r="H12" t="s">
        <v>2</v>
      </c>
      <c r="I12" s="1">
        <v>46250</v>
      </c>
    </row>
    <row r="13" spans="1:9">
      <c r="A13" t="s">
        <v>55</v>
      </c>
      <c r="B13" t="s">
        <v>56</v>
      </c>
      <c r="C13" t="s">
        <v>57</v>
      </c>
      <c r="D13" t="s">
        <v>58</v>
      </c>
      <c r="E13" t="s">
        <v>18</v>
      </c>
      <c r="F13">
        <v>30</v>
      </c>
      <c r="G13" s="1">
        <v>46055</v>
      </c>
      <c r="H13" t="s">
        <v>2</v>
      </c>
      <c r="I13" s="1">
        <v>46250</v>
      </c>
    </row>
    <row r="14" spans="1:9">
      <c r="A14" t="s">
        <v>59</v>
      </c>
      <c r="B14" t="s">
        <v>60</v>
      </c>
      <c r="C14" t="s">
        <v>61</v>
      </c>
      <c r="D14" t="s">
        <v>62</v>
      </c>
      <c r="E14" t="s">
        <v>18</v>
      </c>
      <c r="F14">
        <v>30</v>
      </c>
      <c r="G14" s="1">
        <v>46055</v>
      </c>
      <c r="H14" t="s">
        <v>2</v>
      </c>
      <c r="I14" s="1">
        <v>46250</v>
      </c>
    </row>
    <row r="15" spans="1:9">
      <c r="A15" t="s">
        <v>63</v>
      </c>
      <c r="B15" t="s">
        <v>64</v>
      </c>
      <c r="C15" t="s">
        <v>65</v>
      </c>
      <c r="D15" t="s">
        <v>66</v>
      </c>
      <c r="E15" t="s">
        <v>18</v>
      </c>
      <c r="F15">
        <v>30</v>
      </c>
      <c r="G15" s="1">
        <v>46055</v>
      </c>
      <c r="H15" t="s">
        <v>2</v>
      </c>
      <c r="I15" s="1">
        <v>46250</v>
      </c>
    </row>
    <row r="16" spans="1:9">
      <c r="A16" t="s">
        <v>67</v>
      </c>
      <c r="B16" t="s">
        <v>68</v>
      </c>
      <c r="C16" t="s">
        <v>69</v>
      </c>
      <c r="D16" t="s">
        <v>70</v>
      </c>
      <c r="E16" t="s">
        <v>18</v>
      </c>
      <c r="F16">
        <v>30</v>
      </c>
      <c r="G16" s="1">
        <v>46055</v>
      </c>
      <c r="H16" t="s">
        <v>2</v>
      </c>
      <c r="I16" s="1">
        <v>46250</v>
      </c>
    </row>
    <row r="17" spans="1:9">
      <c r="A17" t="s">
        <v>71</v>
      </c>
      <c r="B17" t="s">
        <v>72</v>
      </c>
      <c r="C17" t="s">
        <v>73</v>
      </c>
      <c r="D17" t="s">
        <v>74</v>
      </c>
      <c r="E17" t="s">
        <v>18</v>
      </c>
      <c r="F17">
        <v>30</v>
      </c>
      <c r="G17" s="1">
        <v>46055</v>
      </c>
      <c r="H17" t="s">
        <v>2</v>
      </c>
      <c r="I17" s="1">
        <v>46250</v>
      </c>
    </row>
    <row r="18" spans="1:9">
      <c r="A18" t="s">
        <v>75</v>
      </c>
      <c r="B18" t="s">
        <v>76</v>
      </c>
      <c r="C18" t="s">
        <v>77</v>
      </c>
      <c r="D18" t="s">
        <v>78</v>
      </c>
      <c r="E18" t="s">
        <v>18</v>
      </c>
      <c r="F18">
        <v>30</v>
      </c>
      <c r="G18" s="1">
        <v>46055</v>
      </c>
      <c r="H18" t="s">
        <v>2</v>
      </c>
      <c r="I18" s="1">
        <v>46250</v>
      </c>
    </row>
    <row r="19" spans="1:9">
      <c r="A19" t="s">
        <v>79</v>
      </c>
      <c r="B19" t="s">
        <v>80</v>
      </c>
      <c r="C19" t="s">
        <v>81</v>
      </c>
      <c r="D19" t="s">
        <v>82</v>
      </c>
      <c r="E19" t="s">
        <v>18</v>
      </c>
      <c r="F19">
        <v>30</v>
      </c>
      <c r="G19" s="1">
        <v>46055</v>
      </c>
      <c r="H19" t="s">
        <v>2</v>
      </c>
      <c r="I19" s="1">
        <v>46250</v>
      </c>
    </row>
    <row r="20" spans="1:9">
      <c r="A20" t="s">
        <v>83</v>
      </c>
      <c r="B20" t="s">
        <v>84</v>
      </c>
      <c r="C20" t="s">
        <v>85</v>
      </c>
      <c r="D20" t="s">
        <v>86</v>
      </c>
      <c r="E20" t="s">
        <v>18</v>
      </c>
      <c r="F20">
        <v>30</v>
      </c>
      <c r="G20" s="1">
        <v>46055</v>
      </c>
      <c r="H20" t="s">
        <v>2</v>
      </c>
      <c r="I20" s="1">
        <v>46250</v>
      </c>
    </row>
    <row r="21" spans="1:9">
      <c r="A21" t="s">
        <v>87</v>
      </c>
      <c r="B21" t="s">
        <v>88</v>
      </c>
      <c r="C21" t="s">
        <v>89</v>
      </c>
      <c r="D21" t="s">
        <v>90</v>
      </c>
      <c r="E21" t="s">
        <v>18</v>
      </c>
      <c r="F21">
        <v>30</v>
      </c>
      <c r="G21" s="1">
        <v>46055</v>
      </c>
      <c r="H21" t="s">
        <v>1</v>
      </c>
    </row>
    <row r="22" spans="1:9">
      <c r="A22" t="s">
        <v>91</v>
      </c>
      <c r="B22" t="s">
        <v>92</v>
      </c>
      <c r="C22" t="s">
        <v>93</v>
      </c>
      <c r="D22" t="s">
        <v>94</v>
      </c>
      <c r="E22" t="s">
        <v>18</v>
      </c>
      <c r="F22">
        <v>30</v>
      </c>
      <c r="G22" s="1">
        <v>46055</v>
      </c>
      <c r="H22" t="s">
        <v>1</v>
      </c>
    </row>
    <row r="23" spans="1:9">
      <c r="A23" t="s">
        <v>95</v>
      </c>
      <c r="B23" t="s">
        <v>96</v>
      </c>
      <c r="C23" t="s">
        <v>97</v>
      </c>
      <c r="D23" t="s">
        <v>98</v>
      </c>
      <c r="E23" t="s">
        <v>18</v>
      </c>
      <c r="F23">
        <v>30</v>
      </c>
      <c r="G23" s="1">
        <v>46055</v>
      </c>
      <c r="H23" t="s">
        <v>2</v>
      </c>
      <c r="I23" s="1">
        <v>46250</v>
      </c>
    </row>
    <row r="24" spans="1:9">
      <c r="A24" t="s">
        <v>99</v>
      </c>
      <c r="B24" t="s">
        <v>100</v>
      </c>
      <c r="C24" t="s">
        <v>101</v>
      </c>
      <c r="D24" t="s">
        <v>102</v>
      </c>
      <c r="E24" t="s">
        <v>18</v>
      </c>
      <c r="F24">
        <v>30</v>
      </c>
      <c r="G24" s="1">
        <v>46055</v>
      </c>
      <c r="H24" t="s">
        <v>2</v>
      </c>
      <c r="I24" s="1">
        <v>46250</v>
      </c>
    </row>
    <row r="25" spans="1:9">
      <c r="A25" t="s">
        <v>103</v>
      </c>
      <c r="B25" t="s">
        <v>104</v>
      </c>
      <c r="C25" t="s">
        <v>105</v>
      </c>
      <c r="D25" t="s">
        <v>106</v>
      </c>
      <c r="E25" t="s">
        <v>18</v>
      </c>
      <c r="F25">
        <v>30</v>
      </c>
      <c r="G25" s="1">
        <v>46055</v>
      </c>
      <c r="H25" t="s">
        <v>2</v>
      </c>
      <c r="I25" s="1">
        <v>46250</v>
      </c>
    </row>
    <row r="26" spans="1:9">
      <c r="A26" t="s">
        <v>107</v>
      </c>
      <c r="B26" t="s">
        <v>108</v>
      </c>
      <c r="C26" t="s">
        <v>109</v>
      </c>
      <c r="D26" t="s">
        <v>110</v>
      </c>
      <c r="E26" t="s">
        <v>18</v>
      </c>
      <c r="F26">
        <v>30</v>
      </c>
      <c r="G26" s="1">
        <v>46055</v>
      </c>
      <c r="H26" t="s">
        <v>2</v>
      </c>
      <c r="I26" s="1">
        <v>46266</v>
      </c>
    </row>
    <row r="27" spans="1:9">
      <c r="A27" t="s">
        <v>111</v>
      </c>
      <c r="B27" t="s">
        <v>112</v>
      </c>
      <c r="C27" t="s">
        <v>113</v>
      </c>
      <c r="D27" t="s">
        <v>114</v>
      </c>
      <c r="E27" t="s">
        <v>18</v>
      </c>
      <c r="F27">
        <v>30</v>
      </c>
      <c r="G27" s="1">
        <v>46055</v>
      </c>
      <c r="H27" t="s">
        <v>2</v>
      </c>
      <c r="I27" s="1">
        <v>46250</v>
      </c>
    </row>
    <row r="28" spans="1:9">
      <c r="A28" t="s">
        <v>115</v>
      </c>
      <c r="B28" t="s">
        <v>116</v>
      </c>
      <c r="C28" t="s">
        <v>117</v>
      </c>
      <c r="D28" t="s">
        <v>118</v>
      </c>
      <c r="E28" t="s">
        <v>18</v>
      </c>
      <c r="F28">
        <v>30</v>
      </c>
      <c r="G28" s="1">
        <v>46055</v>
      </c>
      <c r="H28" t="s">
        <v>2</v>
      </c>
      <c r="I28" s="1">
        <v>46250</v>
      </c>
    </row>
    <row r="29" spans="1:9">
      <c r="A29" t="s">
        <v>119</v>
      </c>
      <c r="B29" t="s">
        <v>120</v>
      </c>
      <c r="C29" t="s">
        <v>121</v>
      </c>
      <c r="D29" t="s">
        <v>122</v>
      </c>
      <c r="E29" t="s">
        <v>18</v>
      </c>
      <c r="F29">
        <v>30</v>
      </c>
      <c r="G29" s="1">
        <v>46055</v>
      </c>
      <c r="H29" t="s">
        <v>2</v>
      </c>
      <c r="I29" s="1">
        <v>46250</v>
      </c>
    </row>
    <row r="30" spans="1:9">
      <c r="A30" t="s">
        <v>123</v>
      </c>
      <c r="B30" t="s">
        <v>124</v>
      </c>
      <c r="C30" t="s">
        <v>125</v>
      </c>
      <c r="D30" t="s">
        <v>126</v>
      </c>
      <c r="E30" t="s">
        <v>18</v>
      </c>
      <c r="F30">
        <v>30</v>
      </c>
      <c r="G30" s="1">
        <v>46055</v>
      </c>
      <c r="H30" t="s">
        <v>2</v>
      </c>
      <c r="I30" s="1">
        <v>46250</v>
      </c>
    </row>
    <row r="31" spans="1:9">
      <c r="A31" t="s">
        <v>127</v>
      </c>
      <c r="B31" t="s">
        <v>128</v>
      </c>
      <c r="C31" t="s">
        <v>129</v>
      </c>
      <c r="D31" t="s">
        <v>130</v>
      </c>
      <c r="E31" t="s">
        <v>18</v>
      </c>
      <c r="F31">
        <v>30</v>
      </c>
      <c r="G31" s="1">
        <v>46055</v>
      </c>
      <c r="H31" t="s">
        <v>2</v>
      </c>
      <c r="I31" s="1">
        <v>46250</v>
      </c>
    </row>
    <row r="32" spans="1:9">
      <c r="A32" t="s">
        <v>131</v>
      </c>
      <c r="B32" t="s">
        <v>132</v>
      </c>
      <c r="C32" t="s">
        <v>133</v>
      </c>
      <c r="D32" t="s">
        <v>134</v>
      </c>
      <c r="E32" t="s">
        <v>18</v>
      </c>
      <c r="F32">
        <v>30</v>
      </c>
      <c r="G32" s="1">
        <v>46055</v>
      </c>
      <c r="H32" t="s">
        <v>2</v>
      </c>
      <c r="I32" s="1">
        <v>46250</v>
      </c>
    </row>
    <row r="33" spans="1:9">
      <c r="A33" t="s">
        <v>135</v>
      </c>
      <c r="B33" t="s">
        <v>136</v>
      </c>
      <c r="C33" t="s">
        <v>137</v>
      </c>
      <c r="D33" t="s">
        <v>138</v>
      </c>
      <c r="E33" t="s">
        <v>18</v>
      </c>
      <c r="F33">
        <v>30</v>
      </c>
      <c r="G33" s="1">
        <v>46055</v>
      </c>
      <c r="H33" t="s">
        <v>2</v>
      </c>
      <c r="I33" s="1">
        <v>46250</v>
      </c>
    </row>
    <row r="34" spans="1:9">
      <c r="A34" t="s">
        <v>139</v>
      </c>
      <c r="B34" t="s">
        <v>140</v>
      </c>
      <c r="C34" t="s">
        <v>141</v>
      </c>
      <c r="D34" t="s">
        <v>142</v>
      </c>
      <c r="E34" t="s">
        <v>18</v>
      </c>
      <c r="F34">
        <v>30</v>
      </c>
      <c r="G34" s="1">
        <v>46055</v>
      </c>
      <c r="H34" t="s">
        <v>2</v>
      </c>
      <c r="I34" s="1">
        <v>46250</v>
      </c>
    </row>
    <row r="35" spans="1:9">
      <c r="A35" t="s">
        <v>143</v>
      </c>
      <c r="B35" t="s">
        <v>144</v>
      </c>
      <c r="C35" t="s">
        <v>145</v>
      </c>
      <c r="D35" t="s">
        <v>146</v>
      </c>
      <c r="E35" t="s">
        <v>18</v>
      </c>
      <c r="F35">
        <v>30</v>
      </c>
      <c r="G35" s="1">
        <v>46055</v>
      </c>
      <c r="H35" t="s">
        <v>2</v>
      </c>
      <c r="I35" s="1">
        <v>46250</v>
      </c>
    </row>
    <row r="36" spans="1:9">
      <c r="A36" t="s">
        <v>147</v>
      </c>
      <c r="B36" t="s">
        <v>148</v>
      </c>
      <c r="C36" t="s">
        <v>149</v>
      </c>
      <c r="D36" t="s">
        <v>150</v>
      </c>
      <c r="E36" t="s">
        <v>18</v>
      </c>
      <c r="F36">
        <v>30</v>
      </c>
      <c r="G36" s="1">
        <v>46055</v>
      </c>
      <c r="H36" t="s">
        <v>2</v>
      </c>
      <c r="I36" s="1">
        <v>46250</v>
      </c>
    </row>
    <row r="37" spans="1:9">
      <c r="A37" t="s">
        <v>151</v>
      </c>
      <c r="B37" t="s">
        <v>152</v>
      </c>
      <c r="C37" t="s">
        <v>153</v>
      </c>
      <c r="D37" t="s">
        <v>154</v>
      </c>
      <c r="E37" t="s">
        <v>18</v>
      </c>
      <c r="F37">
        <v>30</v>
      </c>
      <c r="G37" s="1">
        <v>46055</v>
      </c>
      <c r="H37" t="s">
        <v>2</v>
      </c>
      <c r="I37" s="1">
        <v>46250</v>
      </c>
    </row>
    <row r="38" spans="1:9">
      <c r="A38" t="s">
        <v>155</v>
      </c>
      <c r="B38" t="s">
        <v>156</v>
      </c>
      <c r="C38" t="s">
        <v>157</v>
      </c>
      <c r="D38" t="s">
        <v>158</v>
      </c>
      <c r="E38" t="s">
        <v>18</v>
      </c>
      <c r="F38">
        <v>30</v>
      </c>
      <c r="G38" s="1">
        <v>46055</v>
      </c>
      <c r="H38" t="s">
        <v>2</v>
      </c>
      <c r="I38" s="1">
        <v>46250</v>
      </c>
    </row>
    <row r="39" spans="1:9">
      <c r="A39" t="s">
        <v>159</v>
      </c>
      <c r="B39" t="s">
        <v>160</v>
      </c>
      <c r="C39" t="s">
        <v>161</v>
      </c>
      <c r="D39" t="s">
        <v>162</v>
      </c>
      <c r="E39" t="s">
        <v>18</v>
      </c>
      <c r="F39">
        <v>30</v>
      </c>
      <c r="G39" s="1">
        <v>46055</v>
      </c>
      <c r="H39" t="s">
        <v>2</v>
      </c>
      <c r="I39" s="1">
        <v>46250</v>
      </c>
    </row>
    <row r="40" spans="1:9">
      <c r="A40" t="s">
        <v>163</v>
      </c>
      <c r="B40" t="s">
        <v>164</v>
      </c>
      <c r="C40" t="s">
        <v>165</v>
      </c>
      <c r="D40" t="s">
        <v>166</v>
      </c>
      <c r="E40" t="s">
        <v>167</v>
      </c>
      <c r="F40">
        <v>30</v>
      </c>
      <c r="G40" s="1">
        <v>45890</v>
      </c>
      <c r="H40" t="s">
        <v>2</v>
      </c>
      <c r="I40" s="1">
        <v>46250</v>
      </c>
    </row>
    <row r="41" spans="1:9">
      <c r="A41" t="s">
        <v>168</v>
      </c>
      <c r="B41" t="s">
        <v>164</v>
      </c>
      <c r="C41" t="s">
        <v>165</v>
      </c>
      <c r="D41" t="s">
        <v>166</v>
      </c>
      <c r="E41" t="s">
        <v>16</v>
      </c>
      <c r="F41">
        <v>100</v>
      </c>
      <c r="G41" s="1">
        <v>45957</v>
      </c>
      <c r="H41" t="s">
        <v>2</v>
      </c>
      <c r="I41" s="1">
        <v>46250</v>
      </c>
    </row>
    <row r="42" spans="1:9">
      <c r="A42" t="s">
        <v>169</v>
      </c>
      <c r="B42" t="s">
        <v>170</v>
      </c>
      <c r="C42" t="s">
        <v>171</v>
      </c>
      <c r="D42" t="s">
        <v>172</v>
      </c>
      <c r="E42" t="s">
        <v>18</v>
      </c>
      <c r="F42">
        <v>30</v>
      </c>
      <c r="G42" s="1">
        <v>46055</v>
      </c>
      <c r="H42" t="s">
        <v>2</v>
      </c>
      <c r="I42" s="1">
        <v>46250</v>
      </c>
    </row>
    <row r="43" spans="1:9">
      <c r="A43" t="s">
        <v>173</v>
      </c>
      <c r="B43" t="s">
        <v>174</v>
      </c>
      <c r="C43" t="s">
        <v>175</v>
      </c>
      <c r="D43" t="s">
        <v>176</v>
      </c>
      <c r="E43" t="s">
        <v>18</v>
      </c>
      <c r="F43">
        <v>30</v>
      </c>
      <c r="G43" s="1">
        <v>46055</v>
      </c>
      <c r="H43" t="s">
        <v>2</v>
      </c>
      <c r="I43" s="1">
        <v>46250</v>
      </c>
    </row>
    <row r="44" spans="1:9">
      <c r="A44" t="s">
        <v>177</v>
      </c>
      <c r="B44" t="s">
        <v>178</v>
      </c>
      <c r="C44" t="s">
        <v>179</v>
      </c>
      <c r="D44" t="s">
        <v>180</v>
      </c>
      <c r="E44" t="s">
        <v>18</v>
      </c>
      <c r="F44">
        <v>30</v>
      </c>
      <c r="G44" s="1">
        <v>46055</v>
      </c>
      <c r="H44" t="s">
        <v>2</v>
      </c>
      <c r="I44" s="1">
        <v>46250</v>
      </c>
    </row>
    <row r="45" spans="1:9">
      <c r="A45" t="s">
        <v>181</v>
      </c>
      <c r="B45" t="s">
        <v>182</v>
      </c>
      <c r="C45" t="s">
        <v>183</v>
      </c>
      <c r="D45" t="s">
        <v>184</v>
      </c>
      <c r="E45" t="s">
        <v>18</v>
      </c>
      <c r="F45">
        <v>30</v>
      </c>
      <c r="G45" s="1">
        <v>46055</v>
      </c>
      <c r="H45" t="s">
        <v>2</v>
      </c>
      <c r="I45" s="1">
        <v>46250</v>
      </c>
    </row>
    <row r="46" spans="1:9">
      <c r="A46" t="s">
        <v>185</v>
      </c>
      <c r="B46" t="s">
        <v>186</v>
      </c>
      <c r="C46" t="s">
        <v>187</v>
      </c>
      <c r="D46" t="s">
        <v>188</v>
      </c>
      <c r="E46" t="s">
        <v>18</v>
      </c>
      <c r="F46">
        <v>30</v>
      </c>
      <c r="G46" s="1">
        <v>46055</v>
      </c>
      <c r="H46" t="s">
        <v>2</v>
      </c>
      <c r="I46" s="1">
        <v>46250</v>
      </c>
    </row>
    <row r="47" spans="1:9">
      <c r="A47" t="s">
        <v>189</v>
      </c>
      <c r="B47" t="s">
        <v>190</v>
      </c>
      <c r="C47" t="s">
        <v>191</v>
      </c>
      <c r="D47" t="s">
        <v>192</v>
      </c>
      <c r="E47" t="s">
        <v>18</v>
      </c>
      <c r="F47">
        <v>30</v>
      </c>
      <c r="G47" s="1">
        <v>46055</v>
      </c>
      <c r="H47" t="s">
        <v>2</v>
      </c>
      <c r="I47" s="1">
        <v>46250</v>
      </c>
    </row>
    <row r="48" spans="1:9">
      <c r="A48" t="s">
        <v>193</v>
      </c>
      <c r="B48" t="s">
        <v>194</v>
      </c>
      <c r="C48" t="s">
        <v>195</v>
      </c>
      <c r="D48" t="s">
        <v>196</v>
      </c>
      <c r="E48" t="s">
        <v>18</v>
      </c>
      <c r="F48">
        <v>30</v>
      </c>
      <c r="G48" s="1">
        <v>46055</v>
      </c>
      <c r="H48" t="s">
        <v>2</v>
      </c>
      <c r="I48" s="1">
        <v>46250</v>
      </c>
    </row>
    <row r="49" spans="1:9">
      <c r="A49" t="s">
        <v>197</v>
      </c>
      <c r="B49" t="s">
        <v>198</v>
      </c>
      <c r="C49" t="s">
        <v>199</v>
      </c>
      <c r="D49" t="s">
        <v>200</v>
      </c>
      <c r="E49" t="s">
        <v>18</v>
      </c>
      <c r="F49">
        <v>30</v>
      </c>
      <c r="G49" s="1">
        <v>46055</v>
      </c>
      <c r="H49" t="s">
        <v>2</v>
      </c>
      <c r="I49" s="1">
        <v>46250</v>
      </c>
    </row>
    <row r="50" spans="1:9">
      <c r="A50" t="s">
        <v>201</v>
      </c>
      <c r="B50" t="s">
        <v>202</v>
      </c>
      <c r="C50" t="s">
        <v>203</v>
      </c>
      <c r="D50" t="s">
        <v>204</v>
      </c>
      <c r="E50" t="s">
        <v>18</v>
      </c>
      <c r="F50">
        <v>30</v>
      </c>
      <c r="G50" s="1">
        <v>46055</v>
      </c>
      <c r="H50" t="s">
        <v>2</v>
      </c>
      <c r="I50" s="1">
        <v>46250</v>
      </c>
    </row>
    <row r="51" spans="1:9">
      <c r="A51" t="s">
        <v>205</v>
      </c>
      <c r="B51" t="s">
        <v>206</v>
      </c>
      <c r="C51" t="s">
        <v>207</v>
      </c>
      <c r="D51" t="s">
        <v>208</v>
      </c>
      <c r="E51" t="s">
        <v>167</v>
      </c>
      <c r="F51">
        <v>30</v>
      </c>
      <c r="G51" s="1">
        <v>45890</v>
      </c>
      <c r="H51" t="s">
        <v>2</v>
      </c>
      <c r="I51" s="1">
        <v>46250</v>
      </c>
    </row>
    <row r="52" spans="1:9">
      <c r="A52" t="s">
        <v>209</v>
      </c>
      <c r="B52" t="s">
        <v>206</v>
      </c>
      <c r="C52" t="s">
        <v>207</v>
      </c>
      <c r="D52" t="s">
        <v>208</v>
      </c>
      <c r="E52" t="s">
        <v>18</v>
      </c>
      <c r="F52">
        <v>30</v>
      </c>
      <c r="G52" s="1">
        <v>46055</v>
      </c>
      <c r="H52" t="s">
        <v>2</v>
      </c>
      <c r="I52" s="1">
        <v>46250</v>
      </c>
    </row>
    <row r="53" spans="1:9">
      <c r="A53" t="s">
        <v>210</v>
      </c>
      <c r="B53" t="s">
        <v>211</v>
      </c>
      <c r="C53" t="s">
        <v>212</v>
      </c>
      <c r="D53" t="s">
        <v>213</v>
      </c>
      <c r="E53" t="s">
        <v>167</v>
      </c>
      <c r="F53">
        <v>30</v>
      </c>
      <c r="G53" s="1">
        <v>45890</v>
      </c>
      <c r="H53" t="s">
        <v>2</v>
      </c>
      <c r="I53" s="1">
        <v>46250</v>
      </c>
    </row>
    <row r="54" spans="1:9">
      <c r="A54" t="s">
        <v>214</v>
      </c>
      <c r="B54" t="s">
        <v>211</v>
      </c>
      <c r="C54" t="s">
        <v>212</v>
      </c>
      <c r="D54" t="s">
        <v>213</v>
      </c>
      <c r="E54" t="s">
        <v>18</v>
      </c>
      <c r="F54">
        <v>30</v>
      </c>
      <c r="G54" s="1">
        <v>46055</v>
      </c>
      <c r="H54" t="s">
        <v>2</v>
      </c>
      <c r="I54" s="1">
        <v>46250</v>
      </c>
    </row>
    <row r="55" spans="1:9">
      <c r="A55" t="s">
        <v>215</v>
      </c>
      <c r="B55" t="s">
        <v>216</v>
      </c>
      <c r="C55" t="s">
        <v>217</v>
      </c>
      <c r="D55" t="s">
        <v>218</v>
      </c>
      <c r="E55" t="s">
        <v>167</v>
      </c>
      <c r="F55">
        <v>30</v>
      </c>
      <c r="G55" s="1">
        <v>45890</v>
      </c>
      <c r="H55" t="s">
        <v>2</v>
      </c>
      <c r="I55" s="1">
        <v>46250</v>
      </c>
    </row>
    <row r="56" spans="1:9">
      <c r="A56" t="s">
        <v>219</v>
      </c>
      <c r="B56" t="s">
        <v>216</v>
      </c>
      <c r="C56" t="s">
        <v>217</v>
      </c>
      <c r="D56" t="s">
        <v>218</v>
      </c>
      <c r="E56" t="s">
        <v>18</v>
      </c>
      <c r="F56">
        <v>30</v>
      </c>
      <c r="G56" s="1">
        <v>46055</v>
      </c>
      <c r="H56" t="s">
        <v>2</v>
      </c>
      <c r="I56" s="1">
        <v>46250</v>
      </c>
    </row>
    <row r="57" spans="1:9">
      <c r="A57" t="s">
        <v>220</v>
      </c>
      <c r="B57" t="s">
        <v>221</v>
      </c>
      <c r="C57" t="s">
        <v>222</v>
      </c>
      <c r="D57" t="s">
        <v>223</v>
      </c>
      <c r="E57" t="s">
        <v>18</v>
      </c>
      <c r="F57">
        <v>30</v>
      </c>
      <c r="G57" s="1">
        <v>46055</v>
      </c>
      <c r="H57" t="s">
        <v>1</v>
      </c>
    </row>
    <row r="58" spans="1:9">
      <c r="A58" t="s">
        <v>224</v>
      </c>
      <c r="B58" t="s">
        <v>225</v>
      </c>
      <c r="C58" t="s">
        <v>226</v>
      </c>
      <c r="D58" t="s">
        <v>227</v>
      </c>
      <c r="E58" t="s">
        <v>18</v>
      </c>
      <c r="F58">
        <v>30</v>
      </c>
      <c r="G58" s="1">
        <v>46055</v>
      </c>
      <c r="H58" t="s">
        <v>2</v>
      </c>
      <c r="I58" s="1">
        <v>46250</v>
      </c>
    </row>
    <row r="59" spans="1:9">
      <c r="A59" t="s">
        <v>228</v>
      </c>
      <c r="B59" t="s">
        <v>229</v>
      </c>
      <c r="C59" t="s">
        <v>230</v>
      </c>
      <c r="D59" t="s">
        <v>231</v>
      </c>
      <c r="E59" t="s">
        <v>18</v>
      </c>
      <c r="F59">
        <v>30</v>
      </c>
      <c r="G59" s="1">
        <v>46055</v>
      </c>
      <c r="H59" t="s">
        <v>2</v>
      </c>
      <c r="I59" s="1">
        <v>46250</v>
      </c>
    </row>
    <row r="60" spans="1:9">
      <c r="A60" t="s">
        <v>232</v>
      </c>
      <c r="B60" t="s">
        <v>233</v>
      </c>
      <c r="C60" t="s">
        <v>234</v>
      </c>
      <c r="D60" t="s">
        <v>235</v>
      </c>
      <c r="E60" t="s">
        <v>167</v>
      </c>
      <c r="F60">
        <v>30</v>
      </c>
      <c r="G60" s="1">
        <v>45890</v>
      </c>
      <c r="H60" t="s">
        <v>2</v>
      </c>
      <c r="I60" s="1">
        <v>46250</v>
      </c>
    </row>
    <row r="61" spans="1:9">
      <c r="A61" t="s">
        <v>236</v>
      </c>
      <c r="B61" t="s">
        <v>237</v>
      </c>
      <c r="C61" t="s">
        <v>238</v>
      </c>
      <c r="D61" t="s">
        <v>239</v>
      </c>
      <c r="E61" t="s">
        <v>18</v>
      </c>
      <c r="F61">
        <v>30</v>
      </c>
      <c r="G61" s="1">
        <v>46055</v>
      </c>
      <c r="H61" t="s">
        <v>2</v>
      </c>
      <c r="I61" s="1">
        <v>46250</v>
      </c>
    </row>
    <row r="62" spans="1:9">
      <c r="A62" t="s">
        <v>240</v>
      </c>
      <c r="B62" t="s">
        <v>241</v>
      </c>
      <c r="C62" t="s">
        <v>242</v>
      </c>
      <c r="D62" t="s">
        <v>243</v>
      </c>
      <c r="E62" t="s">
        <v>167</v>
      </c>
      <c r="F62">
        <v>30</v>
      </c>
      <c r="G62" s="1">
        <v>45890</v>
      </c>
      <c r="H62" t="s">
        <v>2</v>
      </c>
      <c r="I62" s="1">
        <v>46250</v>
      </c>
    </row>
    <row r="63" spans="1:9">
      <c r="A63" t="s">
        <v>244</v>
      </c>
      <c r="B63" t="s">
        <v>245</v>
      </c>
      <c r="C63" t="s">
        <v>246</v>
      </c>
      <c r="D63" t="s">
        <v>247</v>
      </c>
      <c r="E63" t="s">
        <v>18</v>
      </c>
      <c r="F63">
        <v>30</v>
      </c>
      <c r="G63" s="1">
        <v>46055</v>
      </c>
      <c r="H63" t="s">
        <v>2</v>
      </c>
      <c r="I63" s="1">
        <v>46250</v>
      </c>
    </row>
    <row r="64" spans="1:9">
      <c r="A64" t="s">
        <v>248</v>
      </c>
      <c r="B64" t="s">
        <v>249</v>
      </c>
      <c r="C64" t="s">
        <v>250</v>
      </c>
      <c r="D64" t="s">
        <v>251</v>
      </c>
      <c r="E64" t="s">
        <v>18</v>
      </c>
      <c r="F64">
        <v>30</v>
      </c>
      <c r="G64" s="1">
        <v>46055</v>
      </c>
      <c r="H64" t="s">
        <v>2</v>
      </c>
      <c r="I64" s="1">
        <v>46250</v>
      </c>
    </row>
    <row r="65" spans="1:9">
      <c r="A65" t="s">
        <v>252</v>
      </c>
      <c r="B65" t="s">
        <v>253</v>
      </c>
      <c r="C65" t="s">
        <v>254</v>
      </c>
      <c r="D65" t="s">
        <v>255</v>
      </c>
      <c r="E65" t="s">
        <v>18</v>
      </c>
      <c r="F65">
        <v>30</v>
      </c>
      <c r="G65" s="1">
        <v>46055</v>
      </c>
      <c r="H65" t="s">
        <v>2</v>
      </c>
      <c r="I65" s="1">
        <v>46250</v>
      </c>
    </row>
    <row r="66" spans="1:9">
      <c r="A66" t="s">
        <v>256</v>
      </c>
      <c r="B66" t="s">
        <v>257</v>
      </c>
      <c r="C66" t="s">
        <v>258</v>
      </c>
      <c r="D66" t="s">
        <v>259</v>
      </c>
      <c r="E66" t="s">
        <v>18</v>
      </c>
      <c r="F66">
        <v>30</v>
      </c>
      <c r="G66" s="1">
        <v>46055</v>
      </c>
      <c r="H66" t="s">
        <v>2</v>
      </c>
      <c r="I66" s="1">
        <v>46250</v>
      </c>
    </row>
    <row r="67" spans="1:9">
      <c r="A67" t="s">
        <v>260</v>
      </c>
      <c r="B67" t="s">
        <v>261</v>
      </c>
      <c r="C67" t="s">
        <v>262</v>
      </c>
      <c r="D67" t="s">
        <v>263</v>
      </c>
      <c r="E67" t="s">
        <v>18</v>
      </c>
      <c r="F67">
        <v>30</v>
      </c>
      <c r="G67" s="1">
        <v>46055</v>
      </c>
      <c r="H67" t="s">
        <v>2</v>
      </c>
      <c r="I67" s="1">
        <v>46250</v>
      </c>
    </row>
    <row r="68" spans="1:9">
      <c r="A68" t="s">
        <v>264</v>
      </c>
      <c r="B68" t="s">
        <v>265</v>
      </c>
      <c r="C68" t="s">
        <v>266</v>
      </c>
      <c r="D68" t="s">
        <v>267</v>
      </c>
      <c r="E68" t="s">
        <v>18</v>
      </c>
      <c r="F68">
        <v>30</v>
      </c>
      <c r="G68" s="1">
        <v>46055</v>
      </c>
      <c r="H68" t="s">
        <v>2</v>
      </c>
      <c r="I68" s="1">
        <v>46250</v>
      </c>
    </row>
  </sheetData>
  <sheetProtection algorithmName="SHA-512" hashValue="rG0MdF67C3Qje0TdEgB82Xsk+66Y3pwJBM221GGyJPKTcVDQWhMGBsooi5lEjryeQrghMpDTP4xWYx8h4g5blQ==" saltValue="F/ZOmXLFsKaS9adL8wuNrw==" spinCount="100000" sheet="1" objects="1" scenarios="1" selectLockedCells="1" selectUnlockedCells="1"/>
  <conditionalFormatting sqref="H1 H69:H1048576">
    <cfRule type="cellIs" dxfId="17" priority="2" operator="equal">
      <formula>"Unpaid"</formula>
    </cfRule>
  </conditionalFormatting>
  <conditionalFormatting sqref="H1 H69:H1048576">
    <cfRule type="cellIs" dxfId="16" priority="1" operator="equal">
      <formula>"Paid"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A6ACF7-A47C-4F7D-B603-31466ED5BDF1}">
          <x14:formula1>
            <xm:f>DROPDOWNS!$A$2:$A$3</xm:f>
          </x14:formula1>
          <xm:sqref>H2:H68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06EF-EA29-4426-9AC1-04A84E5359BD}">
  <sheetPr>
    <tabColor rgb="FFFFFF00"/>
  </sheetPr>
  <dimension ref="A1:D27"/>
  <sheetViews>
    <sheetView workbookViewId="0">
      <selection activeCell="E8" sqref="E8"/>
    </sheetView>
  </sheetViews>
  <sheetFormatPr defaultRowHeight="15"/>
  <cols>
    <col min="1" max="1" width="25.85546875" customWidth="1"/>
    <col min="2" max="2" width="51.28515625" customWidth="1"/>
    <col min="3" max="3" width="28.42578125" style="23" customWidth="1"/>
    <col min="4" max="4" width="27" style="1" customWidth="1"/>
  </cols>
  <sheetData>
    <row r="1" spans="1:4" s="13" customFormat="1" ht="40.5" customHeight="1">
      <c r="A1" s="19" t="s">
        <v>268</v>
      </c>
      <c r="B1" s="19" t="s">
        <v>7</v>
      </c>
      <c r="C1" s="20" t="s">
        <v>269</v>
      </c>
      <c r="D1" s="24" t="s">
        <v>270</v>
      </c>
    </row>
    <row r="2" spans="1:4">
      <c r="A2" t="s">
        <v>271</v>
      </c>
      <c r="B2" s="15" t="s">
        <v>272</v>
      </c>
      <c r="C2" s="21">
        <v>30</v>
      </c>
      <c r="D2" s="18">
        <v>45890</v>
      </c>
    </row>
    <row r="3" spans="1:4">
      <c r="A3" t="s">
        <v>273</v>
      </c>
      <c r="B3" s="15" t="s">
        <v>274</v>
      </c>
      <c r="C3" s="21">
        <v>100</v>
      </c>
      <c r="D3" s="1">
        <v>45957</v>
      </c>
    </row>
    <row r="4" spans="1:4">
      <c r="A4" t="s">
        <v>275</v>
      </c>
      <c r="B4" s="16" t="s">
        <v>276</v>
      </c>
      <c r="C4" s="21">
        <v>30</v>
      </c>
      <c r="D4" s="1">
        <v>46055</v>
      </c>
    </row>
    <row r="5" spans="1:4">
      <c r="A5" t="s">
        <v>277</v>
      </c>
      <c r="B5" s="15" t="s">
        <v>278</v>
      </c>
      <c r="C5" s="37">
        <v>30</v>
      </c>
      <c r="D5" s="1">
        <v>46266</v>
      </c>
    </row>
    <row r="6" spans="1:4">
      <c r="B6" s="17"/>
      <c r="C6" s="22"/>
    </row>
    <row r="7" spans="1:4">
      <c r="B7" s="17"/>
      <c r="C7" s="22"/>
    </row>
    <row r="8" spans="1:4">
      <c r="B8" s="17"/>
      <c r="C8" s="22"/>
    </row>
    <row r="9" spans="1:4">
      <c r="B9" s="17"/>
      <c r="C9" s="22"/>
    </row>
    <row r="10" spans="1:4">
      <c r="B10" s="17"/>
      <c r="C10" s="22"/>
    </row>
    <row r="11" spans="1:4">
      <c r="B11" s="17"/>
      <c r="C11" s="22"/>
    </row>
    <row r="12" spans="1:4">
      <c r="B12" s="17"/>
      <c r="C12" s="22"/>
    </row>
    <row r="13" spans="1:4">
      <c r="B13" s="17"/>
      <c r="C13" s="22"/>
    </row>
    <row r="14" spans="1:4">
      <c r="B14" s="17"/>
      <c r="C14" s="22"/>
    </row>
    <row r="15" spans="1:4">
      <c r="B15" s="17"/>
      <c r="C15" s="22"/>
    </row>
    <row r="16" spans="1:4">
      <c r="B16" s="17"/>
      <c r="C16" s="22"/>
    </row>
    <row r="17" spans="2:3">
      <c r="B17" s="17"/>
      <c r="C17" s="22"/>
    </row>
    <row r="18" spans="2:3">
      <c r="B18" s="17"/>
      <c r="C18" s="22"/>
    </row>
    <row r="19" spans="2:3">
      <c r="B19" s="17"/>
      <c r="C19" s="22"/>
    </row>
    <row r="20" spans="2:3">
      <c r="B20" s="17"/>
      <c r="C20" s="22"/>
    </row>
    <row r="21" spans="2:3">
      <c r="B21" s="17"/>
      <c r="C21" s="22"/>
    </row>
    <row r="22" spans="2:3">
      <c r="B22" s="17"/>
      <c r="C22" s="22"/>
    </row>
    <row r="23" spans="2:3">
      <c r="B23" s="17"/>
      <c r="C23" s="22"/>
    </row>
    <row r="24" spans="2:3">
      <c r="B24" s="17"/>
      <c r="C24" s="22"/>
    </row>
    <row r="25" spans="2:3">
      <c r="B25" s="17"/>
      <c r="C25" s="22"/>
    </row>
    <row r="26" spans="2:3">
      <c r="B26" s="17"/>
      <c r="C26" s="22"/>
    </row>
    <row r="27" spans="2:3">
      <c r="B27" s="17"/>
      <c r="C27" s="22"/>
    </row>
  </sheetData>
  <sheetProtection algorithmName="SHA-512" hashValue="Anauja8tez1oMOqHKXzoYpZMoDyWVm10Ysi7WRzSevQulqLKeWR5aBUqRQXdtnJ4YN9wX4tNYCjgLtbMYJBsNg==" saltValue="dCqNdGWRDAvSE/HYx/DN1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11F3-7A5D-4A49-A2C4-E43E46DEBB6F}">
  <sheetPr>
    <tabColor rgb="FF00B050"/>
  </sheetPr>
  <dimension ref="A1:I58"/>
  <sheetViews>
    <sheetView topLeftCell="C1" zoomScaleNormal="100" workbookViewId="0">
      <selection activeCell="D2" sqref="D2"/>
    </sheetView>
  </sheetViews>
  <sheetFormatPr defaultRowHeight="15"/>
  <cols>
    <col min="1" max="1" width="21.140625" style="2" customWidth="1"/>
    <col min="2" max="2" width="15.42578125" style="2" customWidth="1"/>
    <col min="3" max="3" width="40.85546875" style="2" customWidth="1"/>
    <col min="4" max="4" width="51.5703125" style="2" bestFit="1" customWidth="1"/>
    <col min="5" max="5" width="45.140625" style="2" customWidth="1"/>
    <col min="6" max="6" width="30.140625" style="2" customWidth="1"/>
    <col min="7" max="7" width="13.42578125" style="2" customWidth="1"/>
    <col min="8" max="8" width="14.5703125" style="2" customWidth="1"/>
    <col min="9" max="9" width="15.28515625" style="2" customWidth="1"/>
    <col min="10" max="16384" width="9.140625" style="2"/>
  </cols>
  <sheetData>
    <row r="1" spans="1:9">
      <c r="A1" s="2" t="s">
        <v>279</v>
      </c>
    </row>
    <row r="2" spans="1:9" ht="69.75" customHeight="1">
      <c r="C2" s="6" t="s">
        <v>280</v>
      </c>
      <c r="D2" s="36" t="s">
        <v>108</v>
      </c>
    </row>
    <row r="3" spans="1:9" ht="57" customHeight="1">
      <c r="C3" s="7" t="s">
        <v>281</v>
      </c>
      <c r="D3" s="2" t="s">
        <v>282</v>
      </c>
      <c r="E3" s="7" t="s">
        <v>283</v>
      </c>
      <c r="F3" s="14">
        <f>SUMIFS(FinesTable[Fine Amount], FinesTable[Student ID], D2, FinesTable[Status], "Unpaid")</f>
        <v>0</v>
      </c>
    </row>
    <row r="4" spans="1:9" ht="15.7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5" t="s">
        <v>11</v>
      </c>
    </row>
    <row r="5" spans="1:9" ht="14.25" customHeight="1">
      <c r="A5" s="2" t="str" cm="1">
        <f t="array" ref="A5">_xlfn._xlws.FILTER(FinesTable[], (TRIM(FinesTable[Student ID]) = TRIM(D2)) * (FinesTable[Status] = "Unpaid"), "No unpaid fines found for this student.")</f>
        <v>No unpaid fines found for this student.</v>
      </c>
      <c r="F5" s="9"/>
      <c r="G5" s="8"/>
    </row>
    <row r="6" spans="1:9">
      <c r="F6" s="9"/>
      <c r="G6" s="8"/>
    </row>
    <row r="7" spans="1:9">
      <c r="F7" s="9"/>
      <c r="G7" s="8"/>
    </row>
    <row r="8" spans="1:9">
      <c r="F8" s="9"/>
      <c r="G8" s="8"/>
    </row>
    <row r="9" spans="1:9">
      <c r="F9" s="9"/>
      <c r="G9" s="8"/>
    </row>
    <row r="10" spans="1:9">
      <c r="F10" s="9"/>
      <c r="G10" s="8"/>
    </row>
    <row r="11" spans="1:9">
      <c r="F11" s="9"/>
      <c r="G11" s="8"/>
    </row>
    <row r="12" spans="1:9">
      <c r="F12" s="9"/>
      <c r="G12" s="8"/>
    </row>
    <row r="13" spans="1:9">
      <c r="F13" s="9"/>
      <c r="G13" s="8"/>
    </row>
    <row r="14" spans="1:9">
      <c r="F14" s="9"/>
      <c r="G14" s="8"/>
    </row>
    <row r="15" spans="1:9">
      <c r="F15" s="9"/>
      <c r="G15" s="8"/>
    </row>
    <row r="16" spans="1:9">
      <c r="F16" s="9"/>
      <c r="G16" s="8"/>
    </row>
    <row r="17" spans="6:7">
      <c r="F17" s="9"/>
      <c r="G17" s="8"/>
    </row>
    <row r="18" spans="6:7">
      <c r="F18" s="9"/>
    </row>
    <row r="19" spans="6:7">
      <c r="F19" s="9"/>
    </row>
    <row r="20" spans="6:7">
      <c r="F20" s="9"/>
    </row>
    <row r="21" spans="6:7">
      <c r="F21" s="9"/>
    </row>
    <row r="22" spans="6:7">
      <c r="F22" s="9"/>
    </row>
    <row r="23" spans="6:7">
      <c r="F23" s="9"/>
    </row>
    <row r="24" spans="6:7">
      <c r="F24" s="9"/>
    </row>
    <row r="25" spans="6:7">
      <c r="F25" s="9"/>
    </row>
    <row r="26" spans="6:7">
      <c r="F26" s="9"/>
    </row>
    <row r="27" spans="6:7">
      <c r="F27" s="9"/>
    </row>
    <row r="28" spans="6:7">
      <c r="F28" s="9"/>
    </row>
    <row r="29" spans="6:7">
      <c r="F29" s="9"/>
    </row>
    <row r="30" spans="6:7">
      <c r="F30" s="9"/>
    </row>
    <row r="31" spans="6:7">
      <c r="F31" s="9"/>
    </row>
    <row r="32" spans="6:7">
      <c r="F32" s="9"/>
    </row>
    <row r="33" spans="6:6">
      <c r="F33" s="9"/>
    </row>
    <row r="34" spans="6:6">
      <c r="F34" s="9"/>
    </row>
    <row r="35" spans="6:6">
      <c r="F35" s="9"/>
    </row>
    <row r="36" spans="6:6">
      <c r="F36" s="9"/>
    </row>
    <row r="37" spans="6:6">
      <c r="F37" s="9"/>
    </row>
    <row r="38" spans="6:6">
      <c r="F38" s="9"/>
    </row>
    <row r="39" spans="6:6">
      <c r="F39" s="9"/>
    </row>
    <row r="40" spans="6:6">
      <c r="F40" s="9"/>
    </row>
    <row r="41" spans="6:6">
      <c r="F41" s="9"/>
    </row>
    <row r="42" spans="6:6">
      <c r="F42" s="9"/>
    </row>
    <row r="43" spans="6:6">
      <c r="F43" s="9"/>
    </row>
    <row r="44" spans="6:6">
      <c r="F44" s="9"/>
    </row>
    <row r="45" spans="6:6">
      <c r="F45" s="9"/>
    </row>
    <row r="46" spans="6:6">
      <c r="F46" s="9"/>
    </row>
    <row r="47" spans="6:6">
      <c r="F47" s="9"/>
    </row>
    <row r="48" spans="6:6">
      <c r="F48" s="9"/>
    </row>
    <row r="49" spans="6:6">
      <c r="F49" s="9"/>
    </row>
    <row r="50" spans="6:6">
      <c r="F50" s="9"/>
    </row>
    <row r="51" spans="6:6">
      <c r="F51" s="9"/>
    </row>
    <row r="52" spans="6:6">
      <c r="F52" s="9"/>
    </row>
    <row r="53" spans="6:6">
      <c r="F53" s="9"/>
    </row>
    <row r="54" spans="6:6">
      <c r="F54" s="9"/>
    </row>
    <row r="55" spans="6:6">
      <c r="F55" s="9"/>
    </row>
    <row r="56" spans="6:6">
      <c r="F56" s="9"/>
    </row>
    <row r="57" spans="6:6">
      <c r="F57" s="9"/>
    </row>
    <row r="58" spans="6:6">
      <c r="F58" s="9"/>
    </row>
  </sheetData>
  <sheetProtection selectLockedCell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C9E8-785F-44F2-B523-DA94A672C0C2}">
  <sheetPr>
    <tabColor rgb="FFFFC000"/>
  </sheetPr>
  <dimension ref="A1:H10"/>
  <sheetViews>
    <sheetView zoomScale="85" zoomScaleNormal="85" workbookViewId="0">
      <selection activeCell="E27" sqref="E27"/>
    </sheetView>
  </sheetViews>
  <sheetFormatPr defaultColWidth="32.5703125" defaultRowHeight="18.75"/>
  <cols>
    <col min="1" max="1" width="44" style="28" bestFit="1" customWidth="1"/>
    <col min="2" max="2" width="16.140625" style="28" bestFit="1" customWidth="1"/>
    <col min="3" max="3" width="32.85546875" style="28" customWidth="1"/>
    <col min="4" max="4" width="18.85546875" style="28" bestFit="1" customWidth="1"/>
    <col min="5" max="5" width="23.85546875" style="28" bestFit="1" customWidth="1"/>
    <col min="6" max="6" width="10" style="28" customWidth="1"/>
    <col min="7" max="7" width="23.28515625" style="28" bestFit="1" customWidth="1"/>
    <col min="8" max="8" width="11.28515625" style="28" bestFit="1" customWidth="1"/>
    <col min="9" max="16384" width="32.5703125" style="28"/>
  </cols>
  <sheetData>
    <row r="1" spans="1:8" ht="57.75" customHeight="1">
      <c r="A1" s="29" t="s">
        <v>284</v>
      </c>
      <c r="B1" s="33">
        <f>SUMIFS(FinesTable[Fine Amount], FinesTable[Status], "Paid")</f>
        <v>1940</v>
      </c>
      <c r="C1" s="29" t="s">
        <v>285</v>
      </c>
      <c r="D1" s="34">
        <f>SUMIFS(FinesTable[Fine Amount], FinesTable[Status], "Unpaid")</f>
        <v>350</v>
      </c>
      <c r="E1" s="29" t="s">
        <v>286</v>
      </c>
      <c r="F1" s="30">
        <f>COUNTIF(FinesTable[Status], "Unpaid")</f>
        <v>7</v>
      </c>
      <c r="G1" s="29" t="s">
        <v>287</v>
      </c>
      <c r="H1" s="35">
        <f>IFERROR(B2 / (B2 + D2), 0)</f>
        <v>0</v>
      </c>
    </row>
    <row r="3" spans="1:8" ht="26.25">
      <c r="C3" s="30"/>
    </row>
    <row r="6" spans="1:8" s="29" customFormat="1">
      <c r="A6" s="32" t="s">
        <v>7</v>
      </c>
      <c r="B6" s="32" t="s">
        <v>288</v>
      </c>
      <c r="C6" s="32" t="s">
        <v>289</v>
      </c>
      <c r="D6" s="32" t="s">
        <v>290</v>
      </c>
    </row>
    <row r="7" spans="1:8">
      <c r="A7" s="28" t="str" cm="1">
        <f t="array" ref="A7:A10">FineRatesTable[Event / Offense]</f>
        <v xml:space="preserve">1st Semester GA A.Y. 2025-2026 </v>
      </c>
      <c r="B7" s="31">
        <f>SUMIFS(FinesTable[Fine Amount], FinesTable[Event / Offense], A7)</f>
        <v>0</v>
      </c>
      <c r="C7" s="31">
        <f>SUMIFS(FinesTable[Fine Amount], FinesTable[Event / Offense], A7, FinesTable[Status], "Paid")</f>
        <v>0</v>
      </c>
      <c r="D7" s="31">
        <f>SUMIFS(FinesTable[Fine Amount], FinesTable[Event / Offense], A7, FinesTable[Status], "Unpaid")</f>
        <v>0</v>
      </c>
    </row>
    <row r="8" spans="1:8">
      <c r="A8" s="28" t="str">
        <v xml:space="preserve">1st Semester DO Day A.Y. 2025-2026 </v>
      </c>
      <c r="B8" s="31">
        <f>SUMIFS(FinesTable[Fine Amount], FinesTable[Event / Offense], A8)</f>
        <v>0</v>
      </c>
      <c r="C8" s="31">
        <f>SUMIFS(FinesTable[Fine Amount], FinesTable[Event / Offense], A8, FinesTable[Status], "Paid")</f>
        <v>0</v>
      </c>
      <c r="D8" s="31">
        <f>SUMIFS(FinesTable[Fine Amount], FinesTable[Event / Offense], A8, FinesTable[Status], "Unpaid")</f>
        <v>0</v>
      </c>
    </row>
    <row r="9" spans="1:8">
      <c r="A9" s="28" t="str">
        <v xml:space="preserve">2nd Semester GA A.Y. 2025-2026 </v>
      </c>
      <c r="B9" s="31">
        <f>SUMIFS(FinesTable[Fine Amount], FinesTable[Event / Offense], A9)</f>
        <v>0</v>
      </c>
      <c r="C9" s="31">
        <f>SUMIFS(FinesTable[Fine Amount], FinesTable[Event / Offense], A9, FinesTable[Status], "Paid")</f>
        <v>0</v>
      </c>
      <c r="D9" s="31">
        <f>SUMIFS(FinesTable[Fine Amount], FinesTable[Event / Offense], A9, FinesTable[Status], "Unpaid")</f>
        <v>0</v>
      </c>
    </row>
    <row r="10" spans="1:8">
      <c r="A10" s="28" t="str">
        <v>1st Semester GA A.Y. 2026-2027</v>
      </c>
    </row>
  </sheetData>
  <sheetProtection algorithmName="SHA-512" hashValue="eiFehGdHOYn1cYIBNioxFMayarA1O3T19eogF6SORoOU0bAcArZw0JxRvtz58bO3bjOcVJrKJxGskTFm9TJm4g==" saltValue="K9qn3IGbNQIn9QiepnGoTA==" spinCount="100000" sheet="1" objects="1" scenarios="1" selectLockedCells="1" selectUnlockedCell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5D1D-793B-4784-9A6F-33592C76319C}">
  <sheetPr>
    <tabColor rgb="FF7030A0"/>
  </sheetPr>
  <dimension ref="A1:M315"/>
  <sheetViews>
    <sheetView tabSelected="1" zoomScale="115" zoomScaleNormal="115" workbookViewId="0">
      <pane xSplit="3" ySplit="1" topLeftCell="D55" activePane="bottomRight" state="frozen"/>
      <selection pane="bottomRight" activeCell="C59" sqref="C59"/>
      <selection pane="bottomLeft"/>
      <selection pane="topRight"/>
    </sheetView>
  </sheetViews>
  <sheetFormatPr defaultRowHeight="15"/>
  <cols>
    <col min="1" max="1" width="8.28515625" customWidth="1"/>
    <col min="2" max="2" width="16.28515625" style="11" bestFit="1" customWidth="1"/>
    <col min="3" max="3" width="43.5703125" style="10" bestFit="1" customWidth="1"/>
    <col min="4" max="4" width="53" style="12" bestFit="1" customWidth="1"/>
    <col min="5" max="5" width="11.7109375" bestFit="1" customWidth="1"/>
    <col min="6" max="6" width="14.28515625" bestFit="1" customWidth="1"/>
    <col min="7" max="7" width="11.7109375" bestFit="1" customWidth="1"/>
    <col min="8" max="8" width="12.7109375" customWidth="1"/>
  </cols>
  <sheetData>
    <row r="1" spans="1:8" s="13" customFormat="1" ht="57.75" customHeight="1">
      <c r="A1" s="25" t="s">
        <v>291</v>
      </c>
      <c r="B1" s="39" t="s">
        <v>4</v>
      </c>
      <c r="C1" s="40" t="s">
        <v>5</v>
      </c>
      <c r="D1" s="41" t="s">
        <v>6</v>
      </c>
      <c r="E1" s="25" t="s">
        <v>271</v>
      </c>
      <c r="F1" s="26" t="s">
        <v>273</v>
      </c>
      <c r="G1" s="27" t="s">
        <v>275</v>
      </c>
      <c r="H1" s="27" t="s">
        <v>277</v>
      </c>
    </row>
    <row r="2" spans="1:8" s="54" customFormat="1" ht="15.75">
      <c r="A2" s="55">
        <v>1</v>
      </c>
      <c r="B2" s="56" t="s">
        <v>292</v>
      </c>
      <c r="C2" s="56" t="s">
        <v>293</v>
      </c>
      <c r="D2" s="56" t="s">
        <v>294</v>
      </c>
      <c r="E2" s="57"/>
      <c r="F2" s="57"/>
      <c r="G2" s="56"/>
      <c r="H2" s="58" t="b">
        <v>0</v>
      </c>
    </row>
    <row r="3" spans="1:8" s="54" customFormat="1" ht="15.75">
      <c r="A3" s="55">
        <v>2</v>
      </c>
      <c r="B3" s="56" t="s">
        <v>295</v>
      </c>
      <c r="C3" s="56" t="s">
        <v>296</v>
      </c>
      <c r="D3" s="56" t="s">
        <v>297</v>
      </c>
      <c r="E3" s="57"/>
      <c r="F3" s="57"/>
      <c r="G3" s="56"/>
      <c r="H3" s="58" t="b">
        <v>0</v>
      </c>
    </row>
    <row r="4" spans="1:8" s="54" customFormat="1" ht="15.75">
      <c r="A4" s="55">
        <v>3</v>
      </c>
      <c r="B4" s="56" t="s">
        <v>298</v>
      </c>
      <c r="C4" s="56" t="s">
        <v>299</v>
      </c>
      <c r="D4" s="56" t="s">
        <v>300</v>
      </c>
      <c r="E4" s="57"/>
      <c r="F4" s="57"/>
      <c r="G4" s="56"/>
      <c r="H4" s="58" t="b">
        <v>0</v>
      </c>
    </row>
    <row r="5" spans="1:8" s="54" customFormat="1" ht="15.75">
      <c r="A5" s="55">
        <v>4</v>
      </c>
      <c r="B5" s="56" t="s">
        <v>301</v>
      </c>
      <c r="C5" s="56" t="s">
        <v>302</v>
      </c>
      <c r="D5" s="56" t="s">
        <v>303</v>
      </c>
      <c r="E5" s="57"/>
      <c r="F5" s="57"/>
      <c r="G5" s="56"/>
      <c r="H5" s="58" t="b">
        <v>0</v>
      </c>
    </row>
    <row r="6" spans="1:8" s="54" customFormat="1" ht="15.75">
      <c r="A6" s="55">
        <v>5</v>
      </c>
      <c r="B6" s="56" t="s">
        <v>304</v>
      </c>
      <c r="C6" s="56" t="s">
        <v>305</v>
      </c>
      <c r="D6" s="56" t="s">
        <v>306</v>
      </c>
      <c r="E6" s="57"/>
      <c r="F6" s="57"/>
      <c r="G6" s="56"/>
      <c r="H6" s="58" t="b">
        <v>0</v>
      </c>
    </row>
    <row r="7" spans="1:8" s="54" customFormat="1" ht="15.75">
      <c r="A7" s="55">
        <v>6</v>
      </c>
      <c r="B7" s="56" t="s">
        <v>307</v>
      </c>
      <c r="C7" s="56" t="s">
        <v>308</v>
      </c>
      <c r="D7" s="56" t="s">
        <v>309</v>
      </c>
      <c r="E7" s="57"/>
      <c r="F7" s="57"/>
      <c r="G7" s="56"/>
      <c r="H7" s="58" t="b">
        <v>0</v>
      </c>
    </row>
    <row r="8" spans="1:8" s="54" customFormat="1" ht="15.75">
      <c r="A8" s="55">
        <v>7</v>
      </c>
      <c r="B8" s="56" t="s">
        <v>310</v>
      </c>
      <c r="C8" s="56" t="s">
        <v>311</v>
      </c>
      <c r="D8" s="56" t="s">
        <v>312</v>
      </c>
      <c r="E8" s="57"/>
      <c r="F8" s="57"/>
      <c r="G8" s="56"/>
      <c r="H8" s="58" t="b">
        <v>0</v>
      </c>
    </row>
    <row r="9" spans="1:8" s="54" customFormat="1" ht="15.75">
      <c r="A9" s="55">
        <v>8</v>
      </c>
      <c r="B9" s="56" t="s">
        <v>313</v>
      </c>
      <c r="C9" s="56" t="s">
        <v>314</v>
      </c>
      <c r="D9" s="56" t="s">
        <v>315</v>
      </c>
      <c r="E9" s="57"/>
      <c r="F9" s="57"/>
      <c r="G9" s="56"/>
      <c r="H9" s="58" t="b">
        <v>0</v>
      </c>
    </row>
    <row r="10" spans="1:8" s="54" customFormat="1" ht="15.75">
      <c r="A10" s="55">
        <v>9</v>
      </c>
      <c r="B10" s="56" t="s">
        <v>316</v>
      </c>
      <c r="C10" s="56" t="s">
        <v>317</v>
      </c>
      <c r="D10" s="56" t="s">
        <v>318</v>
      </c>
      <c r="E10" s="57"/>
      <c r="F10" s="57"/>
      <c r="G10" s="56"/>
      <c r="H10" s="58" t="b">
        <v>0</v>
      </c>
    </row>
    <row r="11" spans="1:8" s="54" customFormat="1" ht="15.75">
      <c r="A11" s="55">
        <v>10</v>
      </c>
      <c r="B11" s="56" t="s">
        <v>319</v>
      </c>
      <c r="C11" s="56" t="s">
        <v>320</v>
      </c>
      <c r="D11" s="56" t="s">
        <v>321</v>
      </c>
      <c r="E11" s="57"/>
      <c r="F11" s="57"/>
      <c r="G11" s="56"/>
      <c r="H11" s="58" t="b">
        <v>0</v>
      </c>
    </row>
    <row r="12" spans="1:8" s="54" customFormat="1" ht="15.75">
      <c r="A12" s="55">
        <v>11</v>
      </c>
      <c r="B12" s="56" t="s">
        <v>322</v>
      </c>
      <c r="C12" s="56" t="s">
        <v>323</v>
      </c>
      <c r="D12" s="56" t="s">
        <v>324</v>
      </c>
      <c r="E12" s="57"/>
      <c r="F12" s="57"/>
      <c r="G12" s="56"/>
      <c r="H12" s="58" t="b">
        <v>0</v>
      </c>
    </row>
    <row r="13" spans="1:8" s="54" customFormat="1" ht="15.75">
      <c r="A13" s="55">
        <v>12</v>
      </c>
      <c r="B13" s="56" t="s">
        <v>325</v>
      </c>
      <c r="C13" s="56" t="s">
        <v>326</v>
      </c>
      <c r="D13" s="56" t="s">
        <v>327</v>
      </c>
      <c r="E13" s="57"/>
      <c r="F13" s="57"/>
      <c r="G13" s="56"/>
      <c r="H13" s="58" t="b">
        <v>0</v>
      </c>
    </row>
    <row r="14" spans="1:8" s="54" customFormat="1" ht="15.75">
      <c r="A14" s="55">
        <v>13</v>
      </c>
      <c r="B14" s="56" t="s">
        <v>328</v>
      </c>
      <c r="C14" s="56" t="s">
        <v>329</v>
      </c>
      <c r="D14" s="56" t="s">
        <v>330</v>
      </c>
      <c r="E14" s="57"/>
      <c r="F14" s="57"/>
      <c r="G14" s="56"/>
      <c r="H14" s="58" t="b">
        <v>0</v>
      </c>
    </row>
    <row r="15" spans="1:8" s="54" customFormat="1" ht="15.75">
      <c r="A15" s="55">
        <v>14</v>
      </c>
      <c r="B15" s="56" t="s">
        <v>331</v>
      </c>
      <c r="C15" s="56" t="s">
        <v>332</v>
      </c>
      <c r="D15" s="56" t="s">
        <v>333</v>
      </c>
      <c r="E15" s="57"/>
      <c r="F15" s="57"/>
      <c r="G15" s="56"/>
      <c r="H15" s="58" t="b">
        <v>0</v>
      </c>
    </row>
    <row r="16" spans="1:8" s="54" customFormat="1" ht="15.75">
      <c r="A16" s="55">
        <v>15</v>
      </c>
      <c r="B16" s="56" t="s">
        <v>334</v>
      </c>
      <c r="C16" s="56" t="s">
        <v>335</v>
      </c>
      <c r="D16" s="56" t="s">
        <v>336</v>
      </c>
      <c r="E16" s="57"/>
      <c r="F16" s="57"/>
      <c r="G16" s="56"/>
      <c r="H16" s="58" t="b">
        <v>0</v>
      </c>
    </row>
    <row r="17" spans="1:8" s="54" customFormat="1" ht="15.75">
      <c r="A17" s="55">
        <v>16</v>
      </c>
      <c r="B17" s="56" t="s">
        <v>337</v>
      </c>
      <c r="C17" s="56" t="s">
        <v>338</v>
      </c>
      <c r="D17" s="56" t="s">
        <v>339</v>
      </c>
      <c r="E17" s="57"/>
      <c r="F17" s="57"/>
      <c r="G17" s="56"/>
      <c r="H17" s="58" t="b">
        <v>0</v>
      </c>
    </row>
    <row r="18" spans="1:8" s="54" customFormat="1" ht="15.75">
      <c r="A18" s="55">
        <v>17</v>
      </c>
      <c r="B18" s="56" t="s">
        <v>340</v>
      </c>
      <c r="C18" s="56" t="s">
        <v>341</v>
      </c>
      <c r="D18" s="56" t="s">
        <v>342</v>
      </c>
      <c r="E18" s="57"/>
      <c r="F18" s="57"/>
      <c r="G18" s="56"/>
      <c r="H18" s="58" t="b">
        <v>0</v>
      </c>
    </row>
    <row r="19" spans="1:8" s="54" customFormat="1" ht="15.75">
      <c r="A19" s="55">
        <v>18</v>
      </c>
      <c r="B19" s="56" t="s">
        <v>343</v>
      </c>
      <c r="C19" s="56" t="s">
        <v>344</v>
      </c>
      <c r="D19" s="56" t="s">
        <v>345</v>
      </c>
      <c r="E19" s="57"/>
      <c r="F19" s="57"/>
      <c r="G19" s="56"/>
      <c r="H19" s="58" t="b">
        <v>0</v>
      </c>
    </row>
    <row r="20" spans="1:8" s="54" customFormat="1" ht="15.75">
      <c r="A20" s="55">
        <v>19</v>
      </c>
      <c r="B20" s="56" t="s">
        <v>346</v>
      </c>
      <c r="C20" s="56" t="s">
        <v>347</v>
      </c>
      <c r="D20" s="56" t="s">
        <v>348</v>
      </c>
      <c r="E20" s="57"/>
      <c r="F20" s="57"/>
      <c r="G20" s="56"/>
      <c r="H20" s="58" t="b">
        <v>0</v>
      </c>
    </row>
    <row r="21" spans="1:8" s="54" customFormat="1" ht="15.75">
      <c r="A21" s="55">
        <v>20</v>
      </c>
      <c r="B21" s="56" t="s">
        <v>349</v>
      </c>
      <c r="C21" s="56" t="s">
        <v>350</v>
      </c>
      <c r="D21" s="56" t="s">
        <v>351</v>
      </c>
      <c r="E21" s="57"/>
      <c r="F21" s="57"/>
      <c r="G21" s="56"/>
      <c r="H21" s="58" t="b">
        <v>0</v>
      </c>
    </row>
    <row r="22" spans="1:8" s="54" customFormat="1" ht="15.75">
      <c r="A22" s="55">
        <v>21</v>
      </c>
      <c r="B22" s="56" t="s">
        <v>352</v>
      </c>
      <c r="C22" s="56" t="s">
        <v>353</v>
      </c>
      <c r="D22" s="56" t="s">
        <v>354</v>
      </c>
      <c r="E22" s="57"/>
      <c r="F22" s="57"/>
      <c r="G22" s="56"/>
      <c r="H22" s="58" t="b">
        <v>0</v>
      </c>
    </row>
    <row r="23" spans="1:8" s="54" customFormat="1" ht="15.75">
      <c r="A23" s="55">
        <v>22</v>
      </c>
      <c r="B23" s="56" t="s">
        <v>355</v>
      </c>
      <c r="C23" s="56" t="s">
        <v>356</v>
      </c>
      <c r="D23" s="56" t="s">
        <v>357</v>
      </c>
      <c r="E23" s="57"/>
      <c r="F23" s="57"/>
      <c r="G23" s="56"/>
      <c r="H23" s="58" t="b">
        <v>0</v>
      </c>
    </row>
    <row r="24" spans="1:8" s="54" customFormat="1" ht="15.75">
      <c r="A24" s="55">
        <v>23</v>
      </c>
      <c r="B24" s="56" t="s">
        <v>358</v>
      </c>
      <c r="C24" s="56" t="s">
        <v>359</v>
      </c>
      <c r="D24" s="56" t="s">
        <v>360</v>
      </c>
      <c r="E24" s="57"/>
      <c r="F24" s="57"/>
      <c r="G24" s="56"/>
      <c r="H24" s="58" t="b">
        <v>0</v>
      </c>
    </row>
    <row r="25" spans="1:8" s="54" customFormat="1" ht="15.75">
      <c r="A25" s="55">
        <v>24</v>
      </c>
      <c r="B25" s="56" t="s">
        <v>361</v>
      </c>
      <c r="C25" s="56" t="s">
        <v>362</v>
      </c>
      <c r="D25" s="56" t="s">
        <v>363</v>
      </c>
      <c r="E25" s="57"/>
      <c r="F25" s="57"/>
      <c r="G25" s="56"/>
      <c r="H25" s="58" t="b">
        <v>0</v>
      </c>
    </row>
    <row r="26" spans="1:8" s="54" customFormat="1" ht="15.75">
      <c r="A26" s="55">
        <v>25</v>
      </c>
      <c r="B26" s="56" t="s">
        <v>364</v>
      </c>
      <c r="C26" s="56" t="s">
        <v>365</v>
      </c>
      <c r="D26" s="56" t="s">
        <v>366</v>
      </c>
      <c r="E26" s="57"/>
      <c r="F26" s="57"/>
      <c r="G26" s="56"/>
      <c r="H26" s="58" t="b">
        <v>0</v>
      </c>
    </row>
    <row r="27" spans="1:8" s="54" customFormat="1" ht="15.75">
      <c r="A27" s="55">
        <v>26</v>
      </c>
      <c r="B27" s="56" t="s">
        <v>367</v>
      </c>
      <c r="C27" s="56" t="s">
        <v>368</v>
      </c>
      <c r="D27" s="56" t="s">
        <v>369</v>
      </c>
      <c r="E27" s="57"/>
      <c r="F27" s="57"/>
      <c r="G27" s="56"/>
      <c r="H27" s="58" t="b">
        <v>0</v>
      </c>
    </row>
    <row r="28" spans="1:8" s="54" customFormat="1" ht="15.75">
      <c r="A28" s="55">
        <v>27</v>
      </c>
      <c r="B28" s="56" t="s">
        <v>370</v>
      </c>
      <c r="C28" s="56" t="s">
        <v>371</v>
      </c>
      <c r="D28" s="56" t="s">
        <v>372</v>
      </c>
      <c r="E28" s="57"/>
      <c r="F28" s="57"/>
      <c r="G28" s="56"/>
      <c r="H28" s="58" t="b">
        <v>0</v>
      </c>
    </row>
    <row r="29" spans="1:8" s="54" customFormat="1" ht="15.75">
      <c r="A29" s="55">
        <v>28</v>
      </c>
      <c r="B29" s="56" t="s">
        <v>373</v>
      </c>
      <c r="C29" s="56" t="s">
        <v>374</v>
      </c>
      <c r="D29" s="56" t="s">
        <v>375</v>
      </c>
      <c r="E29" s="57"/>
      <c r="F29" s="57"/>
      <c r="G29" s="56"/>
      <c r="H29" s="58" t="b">
        <v>0</v>
      </c>
    </row>
    <row r="30" spans="1:8" s="54" customFormat="1" ht="15.75">
      <c r="A30" s="55">
        <v>29</v>
      </c>
      <c r="B30" s="56" t="s">
        <v>376</v>
      </c>
      <c r="C30" s="56" t="s">
        <v>377</v>
      </c>
      <c r="D30" s="56" t="s">
        <v>378</v>
      </c>
      <c r="E30" s="57"/>
      <c r="F30" s="57"/>
      <c r="G30" s="56"/>
      <c r="H30" s="58" t="b">
        <v>0</v>
      </c>
    </row>
    <row r="31" spans="1:8" s="54" customFormat="1" ht="15.75">
      <c r="A31" s="55">
        <v>30</v>
      </c>
      <c r="B31" s="56" t="s">
        <v>379</v>
      </c>
      <c r="C31" s="56" t="s">
        <v>380</v>
      </c>
      <c r="D31" s="56" t="s">
        <v>381</v>
      </c>
      <c r="E31" s="57"/>
      <c r="F31" s="57"/>
      <c r="G31" s="56"/>
      <c r="H31" s="58" t="b">
        <v>0</v>
      </c>
    </row>
    <row r="32" spans="1:8" s="54" customFormat="1" ht="15.75">
      <c r="A32" s="55">
        <v>31</v>
      </c>
      <c r="B32" s="56" t="s">
        <v>382</v>
      </c>
      <c r="C32" s="56" t="s">
        <v>383</v>
      </c>
      <c r="D32" s="56" t="s">
        <v>384</v>
      </c>
      <c r="E32" s="57"/>
      <c r="F32" s="57"/>
      <c r="G32" s="56"/>
      <c r="H32" s="58" t="b">
        <v>0</v>
      </c>
    </row>
    <row r="33" spans="1:8" s="54" customFormat="1" ht="15.75">
      <c r="A33" s="55">
        <v>32</v>
      </c>
      <c r="B33" s="56" t="s">
        <v>385</v>
      </c>
      <c r="C33" s="56" t="s">
        <v>386</v>
      </c>
      <c r="D33" s="56" t="s">
        <v>387</v>
      </c>
      <c r="E33" s="57"/>
      <c r="F33" s="57"/>
      <c r="G33" s="56"/>
      <c r="H33" s="58" t="b">
        <v>0</v>
      </c>
    </row>
    <row r="34" spans="1:8" s="54" customFormat="1" ht="15.75">
      <c r="A34" s="55">
        <v>33</v>
      </c>
      <c r="B34" s="56" t="s">
        <v>388</v>
      </c>
      <c r="C34" s="56" t="s">
        <v>389</v>
      </c>
      <c r="D34" s="56" t="s">
        <v>390</v>
      </c>
      <c r="E34" s="57"/>
      <c r="F34" s="57"/>
      <c r="G34" s="56"/>
      <c r="H34" s="58" t="b">
        <v>0</v>
      </c>
    </row>
    <row r="35" spans="1:8" s="54" customFormat="1" ht="15.75">
      <c r="A35" s="55">
        <v>34</v>
      </c>
      <c r="B35" s="56" t="s">
        <v>391</v>
      </c>
      <c r="C35" s="56" t="s">
        <v>392</v>
      </c>
      <c r="D35" s="56" t="s">
        <v>393</v>
      </c>
      <c r="E35" s="57"/>
      <c r="F35" s="57"/>
      <c r="G35" s="56"/>
      <c r="H35" s="58" t="b">
        <v>0</v>
      </c>
    </row>
    <row r="36" spans="1:8" s="54" customFormat="1" ht="15.75">
      <c r="A36" s="55">
        <v>35</v>
      </c>
      <c r="B36" s="56" t="s">
        <v>394</v>
      </c>
      <c r="C36" s="56" t="s">
        <v>395</v>
      </c>
      <c r="D36" s="56" t="s">
        <v>396</v>
      </c>
      <c r="E36" s="57"/>
      <c r="F36" s="57"/>
      <c r="G36" s="56"/>
      <c r="H36" s="58" t="b">
        <v>0</v>
      </c>
    </row>
    <row r="37" spans="1:8" s="54" customFormat="1" ht="15.75">
      <c r="A37" s="55">
        <v>36</v>
      </c>
      <c r="B37" s="56" t="s">
        <v>397</v>
      </c>
      <c r="C37" s="56" t="s">
        <v>398</v>
      </c>
      <c r="D37" s="56" t="s">
        <v>399</v>
      </c>
      <c r="E37" s="57"/>
      <c r="F37" s="57"/>
      <c r="G37" s="56"/>
      <c r="H37" s="58" t="b">
        <v>0</v>
      </c>
    </row>
    <row r="38" spans="1:8" s="54" customFormat="1" ht="15.75">
      <c r="A38" s="55">
        <v>37</v>
      </c>
      <c r="B38" s="56" t="s">
        <v>400</v>
      </c>
      <c r="C38" s="56" t="s">
        <v>401</v>
      </c>
      <c r="D38" s="56" t="s">
        <v>402</v>
      </c>
      <c r="E38" s="57"/>
      <c r="F38" s="57"/>
      <c r="G38" s="56"/>
      <c r="H38" s="58" t="b">
        <v>0</v>
      </c>
    </row>
    <row r="39" spans="1:8" s="54" customFormat="1" ht="15.75">
      <c r="A39" s="55">
        <v>38</v>
      </c>
      <c r="B39" s="56" t="s">
        <v>403</v>
      </c>
      <c r="C39" s="56" t="s">
        <v>404</v>
      </c>
      <c r="D39" s="56" t="s">
        <v>405</v>
      </c>
      <c r="E39" s="57"/>
      <c r="F39" s="57"/>
      <c r="G39" s="56"/>
      <c r="H39" s="58" t="b">
        <v>0</v>
      </c>
    </row>
    <row r="40" spans="1:8" s="54" customFormat="1" ht="15.75">
      <c r="A40" s="55">
        <v>39</v>
      </c>
      <c r="B40" s="56" t="s">
        <v>406</v>
      </c>
      <c r="C40" s="56" t="s">
        <v>407</v>
      </c>
      <c r="D40" s="56" t="s">
        <v>408</v>
      </c>
      <c r="E40" s="57"/>
      <c r="F40" s="57"/>
      <c r="G40" s="56"/>
      <c r="H40" s="58" t="b">
        <v>0</v>
      </c>
    </row>
    <row r="41" spans="1:8" s="54" customFormat="1" ht="15.75">
      <c r="A41" s="55">
        <v>40</v>
      </c>
      <c r="B41" s="56" t="s">
        <v>409</v>
      </c>
      <c r="C41" s="56" t="s">
        <v>410</v>
      </c>
      <c r="D41" s="56" t="s">
        <v>411</v>
      </c>
      <c r="E41" s="57"/>
      <c r="F41" s="57"/>
      <c r="G41" s="56"/>
      <c r="H41" s="58" t="b">
        <v>0</v>
      </c>
    </row>
    <row r="42" spans="1:8" s="54" customFormat="1" ht="15.75">
      <c r="A42" s="55">
        <v>41</v>
      </c>
      <c r="B42" s="56" t="s">
        <v>412</v>
      </c>
      <c r="C42" s="56" t="s">
        <v>413</v>
      </c>
      <c r="D42" s="56" t="s">
        <v>414</v>
      </c>
      <c r="E42" s="57"/>
      <c r="F42" s="57"/>
      <c r="G42" s="56"/>
      <c r="H42" s="58" t="b">
        <v>0</v>
      </c>
    </row>
    <row r="43" spans="1:8" s="54" customFormat="1" ht="15.75">
      <c r="A43" s="55">
        <v>42</v>
      </c>
      <c r="B43" s="56" t="s">
        <v>415</v>
      </c>
      <c r="C43" s="56" t="s">
        <v>416</v>
      </c>
      <c r="D43" s="56" t="s">
        <v>417</v>
      </c>
      <c r="E43" s="57"/>
      <c r="F43" s="57"/>
      <c r="G43" s="56"/>
      <c r="H43" s="58" t="b">
        <v>0</v>
      </c>
    </row>
    <row r="44" spans="1:8" s="54" customFormat="1" ht="15.75">
      <c r="A44" s="55">
        <v>43</v>
      </c>
      <c r="B44" s="56" t="s">
        <v>418</v>
      </c>
      <c r="C44" s="56" t="s">
        <v>419</v>
      </c>
      <c r="D44" s="56" t="s">
        <v>420</v>
      </c>
      <c r="E44" s="57"/>
      <c r="F44" s="57"/>
      <c r="G44" s="56"/>
      <c r="H44" s="58" t="b">
        <v>0</v>
      </c>
    </row>
    <row r="45" spans="1:8" s="54" customFormat="1" ht="15.75">
      <c r="A45" s="55">
        <v>44</v>
      </c>
      <c r="B45" s="56" t="s">
        <v>421</v>
      </c>
      <c r="C45" s="56" t="s">
        <v>422</v>
      </c>
      <c r="D45" s="56" t="s">
        <v>423</v>
      </c>
      <c r="E45" s="57"/>
      <c r="F45" s="57"/>
      <c r="G45" s="56"/>
      <c r="H45" s="58" t="b">
        <v>0</v>
      </c>
    </row>
    <row r="46" spans="1:8" s="54" customFormat="1" ht="15.75">
      <c r="A46" s="55">
        <v>45</v>
      </c>
      <c r="B46" s="56" t="s">
        <v>424</v>
      </c>
      <c r="C46" s="56" t="s">
        <v>425</v>
      </c>
      <c r="D46" s="56" t="s">
        <v>426</v>
      </c>
      <c r="E46" s="57"/>
      <c r="F46" s="57"/>
      <c r="G46" s="56"/>
      <c r="H46" s="58" t="b">
        <v>0</v>
      </c>
    </row>
    <row r="47" spans="1:8" s="54" customFormat="1" ht="15.75">
      <c r="A47" s="55">
        <v>46</v>
      </c>
      <c r="B47" s="56" t="s">
        <v>427</v>
      </c>
      <c r="C47" s="56" t="s">
        <v>428</v>
      </c>
      <c r="D47" s="56" t="s">
        <v>429</v>
      </c>
      <c r="E47" s="57"/>
      <c r="F47" s="57"/>
      <c r="G47" s="56"/>
      <c r="H47" s="58" t="b">
        <v>0</v>
      </c>
    </row>
    <row r="48" spans="1:8" s="54" customFormat="1" ht="15.75">
      <c r="A48" s="55">
        <v>47</v>
      </c>
      <c r="B48" s="56" t="s">
        <v>430</v>
      </c>
      <c r="C48" s="56" t="s">
        <v>431</v>
      </c>
      <c r="D48" s="56" t="s">
        <v>432</v>
      </c>
      <c r="E48" s="57"/>
      <c r="F48" s="57"/>
      <c r="G48" s="56"/>
      <c r="H48" s="58" t="b">
        <v>0</v>
      </c>
    </row>
    <row r="49" spans="1:8" s="54" customFormat="1" ht="15.75">
      <c r="A49" s="55">
        <v>48</v>
      </c>
      <c r="B49" s="56" t="s">
        <v>433</v>
      </c>
      <c r="C49" s="56" t="s">
        <v>434</v>
      </c>
      <c r="D49" s="56" t="s">
        <v>435</v>
      </c>
      <c r="E49" s="57"/>
      <c r="F49" s="57"/>
      <c r="G49" s="56"/>
      <c r="H49" s="58" t="b">
        <v>0</v>
      </c>
    </row>
    <row r="50" spans="1:8" s="54" customFormat="1" ht="15.75">
      <c r="A50" s="55">
        <v>49</v>
      </c>
      <c r="B50" s="56" t="s">
        <v>436</v>
      </c>
      <c r="C50" s="56" t="s">
        <v>437</v>
      </c>
      <c r="D50" s="56" t="s">
        <v>438</v>
      </c>
      <c r="E50" s="57"/>
      <c r="F50" s="57"/>
      <c r="G50" s="56"/>
      <c r="H50" s="58" t="b">
        <v>0</v>
      </c>
    </row>
    <row r="51" spans="1:8" s="54" customFormat="1" ht="15.75">
      <c r="A51" s="55">
        <v>50</v>
      </c>
      <c r="B51" s="56" t="s">
        <v>439</v>
      </c>
      <c r="C51" s="56" t="s">
        <v>440</v>
      </c>
      <c r="D51" s="56" t="s">
        <v>441</v>
      </c>
      <c r="E51" s="57"/>
      <c r="F51" s="57"/>
      <c r="G51" s="56"/>
      <c r="H51" s="58" t="b">
        <v>0</v>
      </c>
    </row>
    <row r="52" spans="1:8" s="54" customFormat="1" ht="15.75">
      <c r="A52" s="55">
        <v>51</v>
      </c>
      <c r="B52" s="56" t="s">
        <v>442</v>
      </c>
      <c r="C52" s="56" t="s">
        <v>443</v>
      </c>
      <c r="D52" s="56" t="s">
        <v>444</v>
      </c>
      <c r="E52" s="57"/>
      <c r="F52" s="57"/>
      <c r="G52" s="56"/>
      <c r="H52" s="58" t="b">
        <v>0</v>
      </c>
    </row>
    <row r="53" spans="1:8" s="54" customFormat="1" ht="15.75">
      <c r="A53" s="55">
        <v>52</v>
      </c>
      <c r="B53" s="56" t="s">
        <v>445</v>
      </c>
      <c r="C53" s="56" t="s">
        <v>446</v>
      </c>
      <c r="D53" s="56" t="s">
        <v>447</v>
      </c>
      <c r="E53" s="57"/>
      <c r="F53" s="57"/>
      <c r="G53" s="56"/>
      <c r="H53" s="58" t="b">
        <v>0</v>
      </c>
    </row>
    <row r="54" spans="1:8" s="54" customFormat="1" ht="15.75">
      <c r="A54" s="55">
        <v>53</v>
      </c>
      <c r="B54" s="56" t="s">
        <v>448</v>
      </c>
      <c r="C54" s="56" t="s">
        <v>449</v>
      </c>
      <c r="D54" s="56" t="s">
        <v>450</v>
      </c>
      <c r="E54" s="57"/>
      <c r="F54" s="57"/>
      <c r="G54" s="56"/>
      <c r="H54" s="58" t="b">
        <v>0</v>
      </c>
    </row>
    <row r="55" spans="1:8" s="54" customFormat="1" ht="15.75">
      <c r="A55" s="55">
        <v>54</v>
      </c>
      <c r="B55" s="56" t="s">
        <v>451</v>
      </c>
      <c r="C55" s="56" t="s">
        <v>452</v>
      </c>
      <c r="D55" s="56" t="s">
        <v>453</v>
      </c>
      <c r="E55" s="57"/>
      <c r="F55" s="57"/>
      <c r="G55" s="56"/>
      <c r="H55" s="58" t="b">
        <v>0</v>
      </c>
    </row>
    <row r="56" spans="1:8" s="54" customFormat="1" ht="15.75">
      <c r="A56" s="55">
        <v>55</v>
      </c>
      <c r="B56" s="56" t="s">
        <v>454</v>
      </c>
      <c r="C56" s="56" t="s">
        <v>455</v>
      </c>
      <c r="D56" s="56" t="s">
        <v>456</v>
      </c>
      <c r="E56" s="57"/>
      <c r="F56" s="57"/>
      <c r="G56" s="56"/>
      <c r="H56" s="58" t="b">
        <v>0</v>
      </c>
    </row>
    <row r="57" spans="1:8" s="54" customFormat="1" ht="15.75">
      <c r="A57" s="55">
        <v>56</v>
      </c>
      <c r="B57" s="56" t="s">
        <v>457</v>
      </c>
      <c r="C57" s="56" t="s">
        <v>458</v>
      </c>
      <c r="D57" s="56" t="s">
        <v>459</v>
      </c>
      <c r="E57" s="57"/>
      <c r="F57" s="57"/>
      <c r="G57" s="56"/>
      <c r="H57" s="58" t="b">
        <v>0</v>
      </c>
    </row>
    <row r="58" spans="1:8" s="54" customFormat="1" ht="15.75">
      <c r="A58" s="55">
        <v>57</v>
      </c>
      <c r="B58" s="56" t="s">
        <v>460</v>
      </c>
      <c r="C58" s="56" t="s">
        <v>461</v>
      </c>
      <c r="D58" s="56" t="s">
        <v>462</v>
      </c>
      <c r="E58" s="57"/>
      <c r="F58" s="57"/>
      <c r="G58" s="56"/>
      <c r="H58" s="58" t="b">
        <v>0</v>
      </c>
    </row>
    <row r="59" spans="1:8" s="54" customFormat="1" ht="15.75">
      <c r="A59" s="55">
        <v>58</v>
      </c>
      <c r="B59" s="56" t="s">
        <v>463</v>
      </c>
      <c r="C59" s="56" t="s">
        <v>464</v>
      </c>
      <c r="D59" s="56" t="s">
        <v>465</v>
      </c>
      <c r="E59" s="57"/>
      <c r="F59" s="57"/>
      <c r="G59" s="56"/>
      <c r="H59" s="58" t="b">
        <v>0</v>
      </c>
    </row>
    <row r="60" spans="1:8" s="54" customFormat="1" ht="15.75">
      <c r="A60" s="55">
        <v>59</v>
      </c>
      <c r="B60" s="56" t="s">
        <v>466</v>
      </c>
      <c r="C60" s="56" t="s">
        <v>467</v>
      </c>
      <c r="D60" s="56" t="s">
        <v>468</v>
      </c>
      <c r="E60" s="57"/>
      <c r="F60" s="57"/>
      <c r="G60" s="56"/>
      <c r="H60" s="58" t="b">
        <v>0</v>
      </c>
    </row>
    <row r="61" spans="1:8" s="54" customFormat="1" ht="15.75">
      <c r="A61" s="55">
        <v>60</v>
      </c>
      <c r="B61" s="56" t="s">
        <v>469</v>
      </c>
      <c r="C61" s="56" t="s">
        <v>470</v>
      </c>
      <c r="D61" s="56" t="s">
        <v>471</v>
      </c>
      <c r="E61" s="57"/>
      <c r="F61" s="57"/>
      <c r="G61" s="56"/>
      <c r="H61" s="58" t="b">
        <v>0</v>
      </c>
    </row>
    <row r="62" spans="1:8" s="54" customFormat="1" ht="15.75">
      <c r="A62" s="55">
        <v>61</v>
      </c>
      <c r="B62" s="56" t="s">
        <v>472</v>
      </c>
      <c r="C62" s="56" t="s">
        <v>473</v>
      </c>
      <c r="D62" s="56" t="s">
        <v>474</v>
      </c>
      <c r="E62" s="57"/>
      <c r="F62" s="57"/>
      <c r="G62" s="56"/>
      <c r="H62" s="58" t="b">
        <v>0</v>
      </c>
    </row>
    <row r="63" spans="1:8" s="54" customFormat="1" ht="15.75">
      <c r="A63" s="55">
        <v>62</v>
      </c>
      <c r="B63" s="56" t="s">
        <v>475</v>
      </c>
      <c r="C63" s="56" t="s">
        <v>476</v>
      </c>
      <c r="D63" s="56" t="s">
        <v>477</v>
      </c>
      <c r="E63" s="57"/>
      <c r="F63" s="57"/>
      <c r="G63" s="56"/>
      <c r="H63" s="58" t="b">
        <v>0</v>
      </c>
    </row>
    <row r="64" spans="1:8" s="54" customFormat="1" ht="15.75">
      <c r="A64" s="55">
        <v>63</v>
      </c>
      <c r="B64" s="56" t="s">
        <v>478</v>
      </c>
      <c r="C64" s="56" t="s">
        <v>479</v>
      </c>
      <c r="D64" s="56" t="s">
        <v>480</v>
      </c>
      <c r="E64" s="57"/>
      <c r="F64" s="57"/>
      <c r="G64" s="56"/>
      <c r="H64" s="58" t="b">
        <v>0</v>
      </c>
    </row>
    <row r="65" spans="1:8" s="54" customFormat="1" ht="15.75">
      <c r="A65" s="55">
        <v>64</v>
      </c>
      <c r="B65" s="56" t="s">
        <v>481</v>
      </c>
      <c r="C65" s="56" t="s">
        <v>482</v>
      </c>
      <c r="D65" s="56" t="s">
        <v>483</v>
      </c>
      <c r="E65" s="57"/>
      <c r="F65" s="57"/>
      <c r="G65" s="56"/>
      <c r="H65" s="58" t="b">
        <v>0</v>
      </c>
    </row>
    <row r="66" spans="1:8" s="54" customFormat="1" ht="15.75">
      <c r="A66" s="55">
        <v>65</v>
      </c>
      <c r="B66" s="56" t="s">
        <v>484</v>
      </c>
      <c r="C66" s="56" t="s">
        <v>485</v>
      </c>
      <c r="D66" s="56" t="s">
        <v>486</v>
      </c>
      <c r="E66" s="57"/>
      <c r="F66" s="57"/>
      <c r="G66" s="56"/>
      <c r="H66" s="58" t="b">
        <v>0</v>
      </c>
    </row>
    <row r="67" spans="1:8" s="54" customFormat="1" ht="15.75">
      <c r="A67" s="55">
        <v>66</v>
      </c>
      <c r="B67" s="56" t="s">
        <v>487</v>
      </c>
      <c r="C67" s="56" t="s">
        <v>488</v>
      </c>
      <c r="D67" s="56" t="s">
        <v>489</v>
      </c>
      <c r="E67" s="57"/>
      <c r="F67" s="57"/>
      <c r="G67" s="56"/>
      <c r="H67" s="58" t="b">
        <v>0</v>
      </c>
    </row>
    <row r="68" spans="1:8" s="54" customFormat="1" ht="15.75">
      <c r="A68" s="55">
        <v>67</v>
      </c>
      <c r="B68" s="56" t="s">
        <v>490</v>
      </c>
      <c r="C68" s="56" t="s">
        <v>491</v>
      </c>
      <c r="D68" s="56" t="s">
        <v>492</v>
      </c>
      <c r="E68" s="57"/>
      <c r="F68" s="57"/>
      <c r="G68" s="56"/>
      <c r="H68" s="58" t="b">
        <v>0</v>
      </c>
    </row>
    <row r="69" spans="1:8" s="54" customFormat="1" ht="15.75">
      <c r="A69" s="55">
        <v>68</v>
      </c>
      <c r="B69" s="56" t="s">
        <v>493</v>
      </c>
      <c r="C69" s="56" t="s">
        <v>494</v>
      </c>
      <c r="D69" s="56" t="s">
        <v>495</v>
      </c>
      <c r="E69" s="57"/>
      <c r="F69" s="57"/>
      <c r="G69" s="56"/>
      <c r="H69" s="58" t="b">
        <v>0</v>
      </c>
    </row>
    <row r="70" spans="1:8" s="54" customFormat="1" ht="15.75">
      <c r="A70" s="55">
        <v>69</v>
      </c>
      <c r="B70" s="56" t="s">
        <v>496</v>
      </c>
      <c r="C70" s="56" t="s">
        <v>497</v>
      </c>
      <c r="D70" s="56" t="s">
        <v>498</v>
      </c>
      <c r="E70" s="57"/>
      <c r="F70" s="57"/>
      <c r="G70" s="56"/>
      <c r="H70" s="58" t="b">
        <v>0</v>
      </c>
    </row>
    <row r="71" spans="1:8" s="54" customFormat="1" ht="15.75">
      <c r="A71" s="55">
        <v>70</v>
      </c>
      <c r="B71" s="56" t="s">
        <v>499</v>
      </c>
      <c r="C71" s="56" t="s">
        <v>500</v>
      </c>
      <c r="D71" s="56" t="s">
        <v>501</v>
      </c>
      <c r="E71" s="57"/>
      <c r="F71" s="57"/>
      <c r="G71" s="56"/>
      <c r="H71" s="58" t="b">
        <v>0</v>
      </c>
    </row>
    <row r="72" spans="1:8" s="54" customFormat="1" ht="15.75">
      <c r="A72" s="55">
        <v>71</v>
      </c>
      <c r="B72" s="56" t="s">
        <v>502</v>
      </c>
      <c r="C72" s="56" t="s">
        <v>503</v>
      </c>
      <c r="D72" s="56" t="s">
        <v>504</v>
      </c>
      <c r="E72" s="57"/>
      <c r="F72" s="57"/>
      <c r="G72" s="56"/>
      <c r="H72" s="58" t="b">
        <v>0</v>
      </c>
    </row>
    <row r="73" spans="1:8" s="54" customFormat="1" ht="15.75">
      <c r="A73" s="55">
        <v>72</v>
      </c>
      <c r="B73" s="56" t="s">
        <v>505</v>
      </c>
      <c r="C73" s="56" t="s">
        <v>506</v>
      </c>
      <c r="D73" s="56" t="s">
        <v>507</v>
      </c>
      <c r="E73" s="57"/>
      <c r="F73" s="57"/>
      <c r="G73" s="56"/>
      <c r="H73" s="58" t="b">
        <v>0</v>
      </c>
    </row>
    <row r="74" spans="1:8" s="54" customFormat="1" ht="15.75">
      <c r="A74" s="55">
        <v>73</v>
      </c>
      <c r="B74" s="56" t="s">
        <v>508</v>
      </c>
      <c r="C74" s="56" t="s">
        <v>509</v>
      </c>
      <c r="D74" s="56" t="s">
        <v>510</v>
      </c>
      <c r="E74" s="57"/>
      <c r="F74" s="57"/>
      <c r="G74" s="56"/>
      <c r="H74" s="58" t="b">
        <v>0</v>
      </c>
    </row>
    <row r="75" spans="1:8" s="54" customFormat="1" ht="15.75">
      <c r="A75" s="55">
        <v>74</v>
      </c>
      <c r="B75" s="56" t="s">
        <v>511</v>
      </c>
      <c r="C75" s="56" t="s">
        <v>512</v>
      </c>
      <c r="D75" s="56" t="s">
        <v>513</v>
      </c>
      <c r="E75" s="57"/>
      <c r="F75" s="57"/>
      <c r="G75" s="56"/>
      <c r="H75" s="58" t="b">
        <v>0</v>
      </c>
    </row>
    <row r="76" spans="1:8" s="54" customFormat="1" ht="15.75">
      <c r="A76" s="55">
        <v>75</v>
      </c>
      <c r="B76" s="56" t="s">
        <v>514</v>
      </c>
      <c r="C76" s="56" t="s">
        <v>515</v>
      </c>
      <c r="D76" s="56" t="s">
        <v>516</v>
      </c>
      <c r="E76" s="57"/>
      <c r="F76" s="57"/>
      <c r="G76" s="56"/>
      <c r="H76" s="58" t="b">
        <v>0</v>
      </c>
    </row>
    <row r="77" spans="1:8" s="54" customFormat="1" ht="15.75">
      <c r="A77" s="55">
        <v>76</v>
      </c>
      <c r="B77" s="56" t="s">
        <v>517</v>
      </c>
      <c r="C77" s="56" t="s">
        <v>518</v>
      </c>
      <c r="D77" s="56" t="s">
        <v>519</v>
      </c>
      <c r="E77" s="57"/>
      <c r="F77" s="57"/>
      <c r="G77" s="56"/>
      <c r="H77" s="58" t="b">
        <v>0</v>
      </c>
    </row>
    <row r="78" spans="1:8" s="54" customFormat="1" ht="15.75">
      <c r="A78" s="55">
        <v>77</v>
      </c>
      <c r="B78" s="56" t="s">
        <v>520</v>
      </c>
      <c r="C78" s="56" t="s">
        <v>521</v>
      </c>
      <c r="D78" s="56" t="s">
        <v>522</v>
      </c>
      <c r="E78" s="57"/>
      <c r="F78" s="57"/>
      <c r="G78" s="56"/>
      <c r="H78" s="58" t="b">
        <v>0</v>
      </c>
    </row>
    <row r="79" spans="1:8" s="54" customFormat="1" ht="15.75">
      <c r="A79" s="55">
        <v>78</v>
      </c>
      <c r="B79" s="56" t="s">
        <v>523</v>
      </c>
      <c r="C79" s="56" t="s">
        <v>524</v>
      </c>
      <c r="D79" s="56" t="s">
        <v>525</v>
      </c>
      <c r="E79" s="57"/>
      <c r="F79" s="57"/>
      <c r="G79" s="56"/>
      <c r="H79" s="58" t="b">
        <v>0</v>
      </c>
    </row>
    <row r="80" spans="1:8" s="54" customFormat="1" ht="15.75">
      <c r="A80" s="55">
        <v>79</v>
      </c>
      <c r="B80" s="56" t="s">
        <v>526</v>
      </c>
      <c r="C80" s="56" t="s">
        <v>527</v>
      </c>
      <c r="D80" s="56" t="s">
        <v>528</v>
      </c>
      <c r="E80" s="57"/>
      <c r="F80" s="57"/>
      <c r="G80" s="56"/>
      <c r="H80" s="58" t="b">
        <v>0</v>
      </c>
    </row>
    <row r="81" spans="1:13" s="54" customFormat="1" ht="15.75">
      <c r="A81" s="55">
        <v>80</v>
      </c>
      <c r="B81" s="56" t="s">
        <v>529</v>
      </c>
      <c r="C81" s="56" t="s">
        <v>530</v>
      </c>
      <c r="D81" s="56" t="s">
        <v>531</v>
      </c>
      <c r="E81" s="57"/>
      <c r="F81" s="57"/>
      <c r="G81" s="56"/>
      <c r="H81" s="58" t="b">
        <v>0</v>
      </c>
    </row>
    <row r="82" spans="1:13" s="54" customFormat="1" ht="15.75">
      <c r="A82" s="55">
        <v>81</v>
      </c>
      <c r="B82" s="56" t="s">
        <v>532</v>
      </c>
      <c r="C82" s="56" t="s">
        <v>533</v>
      </c>
      <c r="D82" s="56" t="s">
        <v>534</v>
      </c>
      <c r="E82" s="57"/>
      <c r="F82" s="57"/>
      <c r="G82" s="56"/>
      <c r="H82" s="58" t="b">
        <v>0</v>
      </c>
    </row>
    <row r="83" spans="1:13" s="54" customFormat="1" ht="15.75">
      <c r="A83" s="55">
        <v>82</v>
      </c>
      <c r="B83" s="56" t="s">
        <v>535</v>
      </c>
      <c r="C83" s="56" t="s">
        <v>536</v>
      </c>
      <c r="D83" s="56" t="s">
        <v>537</v>
      </c>
      <c r="E83" s="57"/>
      <c r="F83" s="57"/>
      <c r="G83" s="56"/>
      <c r="H83" s="58" t="b">
        <v>0</v>
      </c>
    </row>
    <row r="84" spans="1:13" s="54" customFormat="1" ht="15.75">
      <c r="A84" s="55">
        <v>83</v>
      </c>
      <c r="B84" s="56" t="s">
        <v>538</v>
      </c>
      <c r="C84" s="56" t="s">
        <v>539</v>
      </c>
      <c r="D84" s="56" t="s">
        <v>540</v>
      </c>
      <c r="E84" s="57"/>
      <c r="F84" s="57"/>
      <c r="G84" s="56"/>
      <c r="H84" s="58" t="b">
        <v>0</v>
      </c>
    </row>
    <row r="85" spans="1:13" s="54" customFormat="1" ht="15.75">
      <c r="A85" s="55">
        <v>84</v>
      </c>
      <c r="B85" s="56" t="s">
        <v>541</v>
      </c>
      <c r="C85" s="56" t="s">
        <v>542</v>
      </c>
      <c r="D85" s="56" t="s">
        <v>543</v>
      </c>
      <c r="E85" s="57"/>
      <c r="F85" s="57"/>
      <c r="G85" s="56"/>
      <c r="H85" s="58" t="b">
        <v>0</v>
      </c>
    </row>
    <row r="86" spans="1:13" s="54" customFormat="1" ht="15.75">
      <c r="A86" s="55">
        <v>85</v>
      </c>
      <c r="B86" s="56" t="s">
        <v>544</v>
      </c>
      <c r="C86" s="56" t="s">
        <v>545</v>
      </c>
      <c r="D86" s="56" t="s">
        <v>546</v>
      </c>
      <c r="E86" s="57"/>
      <c r="F86" s="57"/>
      <c r="G86" s="56"/>
      <c r="H86" s="58" t="b">
        <v>0</v>
      </c>
    </row>
    <row r="87" spans="1:13" s="54" customFormat="1" ht="15.75">
      <c r="A87" s="55">
        <v>86</v>
      </c>
      <c r="B87" s="56" t="s">
        <v>547</v>
      </c>
      <c r="C87" s="56" t="s">
        <v>548</v>
      </c>
      <c r="D87" s="56" t="s">
        <v>549</v>
      </c>
      <c r="E87" s="57"/>
      <c r="F87" s="57"/>
      <c r="G87" s="56"/>
      <c r="H87" s="58" t="b">
        <v>0</v>
      </c>
    </row>
    <row r="88" spans="1:13" s="54" customFormat="1" ht="15.75">
      <c r="A88" s="55">
        <v>87</v>
      </c>
      <c r="B88" s="56" t="s">
        <v>550</v>
      </c>
      <c r="C88" s="56" t="s">
        <v>551</v>
      </c>
      <c r="D88" s="56" t="s">
        <v>552</v>
      </c>
      <c r="E88" s="57"/>
      <c r="F88" s="57"/>
      <c r="G88" s="56"/>
      <c r="H88" s="58" t="b">
        <v>0</v>
      </c>
    </row>
    <row r="89" spans="1:13" s="54" customFormat="1" ht="15.75">
      <c r="A89" s="55">
        <v>88</v>
      </c>
      <c r="B89" s="56" t="s">
        <v>553</v>
      </c>
      <c r="C89" s="56" t="s">
        <v>554</v>
      </c>
      <c r="D89" s="56" t="s">
        <v>555</v>
      </c>
      <c r="E89" s="57"/>
      <c r="F89" s="57"/>
      <c r="G89" s="56"/>
      <c r="H89" s="58" t="b">
        <v>0</v>
      </c>
    </row>
    <row r="90" spans="1:13" s="54" customFormat="1" ht="15.75">
      <c r="A90" s="55">
        <v>89</v>
      </c>
      <c r="B90" s="56" t="s">
        <v>556</v>
      </c>
      <c r="C90" s="56" t="s">
        <v>557</v>
      </c>
      <c r="D90" s="56" t="s">
        <v>558</v>
      </c>
      <c r="E90" s="57"/>
      <c r="F90" s="57"/>
      <c r="G90" s="56"/>
      <c r="H90" s="58" t="b">
        <v>0</v>
      </c>
    </row>
    <row r="91" spans="1:13" s="54" customFormat="1" ht="15.75">
      <c r="A91" s="55">
        <v>90</v>
      </c>
      <c r="B91" s="56" t="s">
        <v>559</v>
      </c>
      <c r="C91" s="56" t="s">
        <v>560</v>
      </c>
      <c r="D91" s="56" t="s">
        <v>561</v>
      </c>
      <c r="E91" s="57"/>
      <c r="F91" s="57"/>
      <c r="G91" s="56"/>
      <c r="H91" s="58" t="b">
        <v>0</v>
      </c>
    </row>
    <row r="92" spans="1:13" s="45" customFormat="1" ht="15.75">
      <c r="A92" s="46">
        <v>91</v>
      </c>
      <c r="B92" s="47" t="s">
        <v>562</v>
      </c>
      <c r="C92" s="47" t="s">
        <v>563</v>
      </c>
      <c r="D92" s="72" t="s">
        <v>564</v>
      </c>
      <c r="E92" s="48" t="b">
        <v>0</v>
      </c>
      <c r="F92" s="48" t="b">
        <v>0</v>
      </c>
      <c r="G92" s="49" t="b">
        <v>0</v>
      </c>
      <c r="H92" s="48" t="b">
        <v>0</v>
      </c>
      <c r="M92" s="45">
        <v>1</v>
      </c>
    </row>
    <row r="93" spans="1:13" s="45" customFormat="1" ht="15.75">
      <c r="A93" s="46">
        <v>92</v>
      </c>
      <c r="B93" s="47" t="s">
        <v>565</v>
      </c>
      <c r="C93" s="47" t="s">
        <v>566</v>
      </c>
      <c r="D93" s="50" t="s">
        <v>567</v>
      </c>
      <c r="E93" s="48" t="b">
        <v>0</v>
      </c>
      <c r="F93" s="48" t="b">
        <v>0</v>
      </c>
      <c r="G93" s="49" t="b">
        <v>0</v>
      </c>
      <c r="H93" s="48" t="b">
        <v>0</v>
      </c>
      <c r="M93" s="45">
        <v>2</v>
      </c>
    </row>
    <row r="94" spans="1:13" s="45" customFormat="1" ht="15.75">
      <c r="A94" s="46">
        <v>93</v>
      </c>
      <c r="B94" s="47" t="s">
        <v>568</v>
      </c>
      <c r="C94" s="47" t="s">
        <v>569</v>
      </c>
      <c r="D94" s="50" t="s">
        <v>570</v>
      </c>
      <c r="E94" s="48" t="b">
        <v>0</v>
      </c>
      <c r="F94" s="48" t="b">
        <v>0</v>
      </c>
      <c r="G94" s="49" t="b">
        <v>0</v>
      </c>
      <c r="H94" s="48" t="b">
        <v>0</v>
      </c>
      <c r="M94" s="45">
        <v>3</v>
      </c>
    </row>
    <row r="95" spans="1:13" s="45" customFormat="1" ht="15.75">
      <c r="A95" s="46">
        <v>94</v>
      </c>
      <c r="B95" s="47" t="s">
        <v>571</v>
      </c>
      <c r="C95" s="47" t="s">
        <v>572</v>
      </c>
      <c r="D95" s="50" t="s">
        <v>573</v>
      </c>
      <c r="E95" s="48" t="b">
        <v>0</v>
      </c>
      <c r="F95" s="48" t="b">
        <v>0</v>
      </c>
      <c r="G95" s="49" t="b">
        <v>0</v>
      </c>
      <c r="H95" s="48" t="b">
        <v>0</v>
      </c>
      <c r="M95" s="45">
        <v>4</v>
      </c>
    </row>
    <row r="96" spans="1:13" s="45" customFormat="1" ht="15.75">
      <c r="A96" s="46">
        <v>95</v>
      </c>
      <c r="B96" s="47" t="s">
        <v>574</v>
      </c>
      <c r="C96" s="47" t="s">
        <v>575</v>
      </c>
      <c r="D96" s="50" t="s">
        <v>576</v>
      </c>
      <c r="E96" s="48" t="b">
        <v>0</v>
      </c>
      <c r="F96" s="48" t="b">
        <v>0</v>
      </c>
      <c r="G96" s="49" t="b">
        <v>0</v>
      </c>
      <c r="H96" s="48" t="b">
        <v>0</v>
      </c>
      <c r="M96" s="45">
        <v>5</v>
      </c>
    </row>
    <row r="97" spans="1:13" s="45" customFormat="1" ht="15.75">
      <c r="A97" s="46">
        <v>96</v>
      </c>
      <c r="B97" s="47" t="s">
        <v>577</v>
      </c>
      <c r="C97" s="47" t="s">
        <v>578</v>
      </c>
      <c r="D97" s="50" t="s">
        <v>579</v>
      </c>
      <c r="E97" s="48" t="b">
        <v>0</v>
      </c>
      <c r="F97" s="48" t="b">
        <v>0</v>
      </c>
      <c r="G97" s="49" t="b">
        <v>0</v>
      </c>
      <c r="H97" s="48" t="b">
        <v>0</v>
      </c>
      <c r="M97" s="45">
        <v>6</v>
      </c>
    </row>
    <row r="98" spans="1:13" s="45" customFormat="1" ht="15.75">
      <c r="A98" s="46">
        <v>97</v>
      </c>
      <c r="B98" s="47" t="s">
        <v>580</v>
      </c>
      <c r="C98" s="47" t="s">
        <v>581</v>
      </c>
      <c r="D98" s="50" t="s">
        <v>582</v>
      </c>
      <c r="E98" s="48" t="b">
        <v>0</v>
      </c>
      <c r="F98" s="48" t="b">
        <v>0</v>
      </c>
      <c r="G98" s="49" t="b">
        <v>0</v>
      </c>
      <c r="H98" s="48" t="b">
        <v>0</v>
      </c>
      <c r="M98" s="45">
        <v>7</v>
      </c>
    </row>
    <row r="99" spans="1:13" s="45" customFormat="1" ht="15.75">
      <c r="A99" s="46">
        <v>98</v>
      </c>
      <c r="B99" s="47" t="s">
        <v>52</v>
      </c>
      <c r="C99" s="47" t="s">
        <v>53</v>
      </c>
      <c r="D99" s="50" t="s">
        <v>54</v>
      </c>
      <c r="E99" s="48" t="b">
        <v>0</v>
      </c>
      <c r="F99" s="48" t="b">
        <v>0</v>
      </c>
      <c r="G99" s="49" t="b">
        <v>1</v>
      </c>
      <c r="H99" s="48" t="b">
        <v>0</v>
      </c>
      <c r="M99" s="45">
        <v>8</v>
      </c>
    </row>
    <row r="100" spans="1:13" s="45" customFormat="1" ht="15.75">
      <c r="A100" s="46">
        <v>99</v>
      </c>
      <c r="B100" s="47" t="s">
        <v>583</v>
      </c>
      <c r="C100" s="47" t="s">
        <v>584</v>
      </c>
      <c r="D100" s="50" t="s">
        <v>585</v>
      </c>
      <c r="E100" s="48" t="b">
        <v>0</v>
      </c>
      <c r="F100" s="48" t="b">
        <v>0</v>
      </c>
      <c r="G100" s="49" t="b">
        <v>0</v>
      </c>
      <c r="H100" s="48" t="b">
        <v>0</v>
      </c>
      <c r="M100" s="45">
        <v>9</v>
      </c>
    </row>
    <row r="101" spans="1:13" s="45" customFormat="1" ht="15.75">
      <c r="A101" s="46">
        <v>100</v>
      </c>
      <c r="B101" s="47" t="s">
        <v>586</v>
      </c>
      <c r="C101" s="47" t="s">
        <v>587</v>
      </c>
      <c r="D101" s="50" t="s">
        <v>588</v>
      </c>
      <c r="E101" s="48" t="b">
        <v>0</v>
      </c>
      <c r="F101" s="48" t="b">
        <v>0</v>
      </c>
      <c r="G101" s="49" t="b">
        <v>0</v>
      </c>
      <c r="H101" s="48" t="b">
        <v>0</v>
      </c>
      <c r="M101" s="45">
        <v>10</v>
      </c>
    </row>
    <row r="102" spans="1:13" s="45" customFormat="1" ht="15.75">
      <c r="A102" s="46">
        <v>101</v>
      </c>
      <c r="B102" s="47" t="s">
        <v>589</v>
      </c>
      <c r="C102" s="47" t="s">
        <v>590</v>
      </c>
      <c r="D102" s="50" t="s">
        <v>591</v>
      </c>
      <c r="E102" s="48" t="b">
        <v>0</v>
      </c>
      <c r="F102" s="48" t="b">
        <v>0</v>
      </c>
      <c r="G102" s="49" t="b">
        <v>0</v>
      </c>
      <c r="H102" s="48" t="b">
        <v>0</v>
      </c>
      <c r="M102" s="45">
        <v>11</v>
      </c>
    </row>
    <row r="103" spans="1:13" s="45" customFormat="1" ht="15.75">
      <c r="A103" s="46">
        <v>102</v>
      </c>
      <c r="B103" s="47" t="s">
        <v>592</v>
      </c>
      <c r="C103" s="47" t="s">
        <v>593</v>
      </c>
      <c r="D103" s="50" t="s">
        <v>594</v>
      </c>
      <c r="E103" s="48" t="b">
        <v>0</v>
      </c>
      <c r="F103" s="48" t="b">
        <v>0</v>
      </c>
      <c r="G103" s="49" t="b">
        <v>0</v>
      </c>
      <c r="H103" s="48" t="b">
        <v>0</v>
      </c>
      <c r="M103" s="45">
        <v>12</v>
      </c>
    </row>
    <row r="104" spans="1:13" s="45" customFormat="1" ht="15.75">
      <c r="A104" s="46">
        <v>103</v>
      </c>
      <c r="B104" s="47" t="s">
        <v>80</v>
      </c>
      <c r="C104" s="47" t="s">
        <v>81</v>
      </c>
      <c r="D104" s="50" t="s">
        <v>82</v>
      </c>
      <c r="E104" s="48" t="b">
        <v>0</v>
      </c>
      <c r="F104" s="48" t="b">
        <v>0</v>
      </c>
      <c r="G104" s="49" t="b">
        <v>1</v>
      </c>
      <c r="H104" s="48" t="b">
        <v>0</v>
      </c>
      <c r="M104" s="45">
        <v>13</v>
      </c>
    </row>
    <row r="105" spans="1:13" s="45" customFormat="1" ht="15.75">
      <c r="A105" s="46">
        <v>104</v>
      </c>
      <c r="B105" s="47" t="s">
        <v>595</v>
      </c>
      <c r="C105" s="47" t="s">
        <v>596</v>
      </c>
      <c r="D105" s="50" t="s">
        <v>597</v>
      </c>
      <c r="E105" s="48" t="b">
        <v>0</v>
      </c>
      <c r="F105" s="48" t="b">
        <v>0</v>
      </c>
      <c r="G105" s="49" t="b">
        <v>0</v>
      </c>
      <c r="H105" s="48" t="b">
        <v>0</v>
      </c>
      <c r="M105" s="45">
        <v>14</v>
      </c>
    </row>
    <row r="106" spans="1:13" s="45" customFormat="1" ht="15.75">
      <c r="A106" s="46">
        <v>105</v>
      </c>
      <c r="B106" s="47" t="s">
        <v>598</v>
      </c>
      <c r="C106" s="47" t="s">
        <v>599</v>
      </c>
      <c r="D106" s="50" t="s">
        <v>600</v>
      </c>
      <c r="E106" s="48" t="b">
        <v>0</v>
      </c>
      <c r="F106" s="48" t="b">
        <v>0</v>
      </c>
      <c r="G106" s="49" t="b">
        <v>0</v>
      </c>
      <c r="H106" s="48" t="b">
        <v>0</v>
      </c>
      <c r="M106" s="45">
        <v>15</v>
      </c>
    </row>
    <row r="107" spans="1:13" s="45" customFormat="1" ht="15.75">
      <c r="A107" s="46">
        <v>106</v>
      </c>
      <c r="B107" s="47" t="s">
        <v>601</v>
      </c>
      <c r="C107" s="47" t="s">
        <v>602</v>
      </c>
      <c r="D107" s="50" t="s">
        <v>603</v>
      </c>
      <c r="E107" s="48" t="b">
        <v>0</v>
      </c>
      <c r="F107" s="48" t="b">
        <v>0</v>
      </c>
      <c r="G107" s="49" t="b">
        <v>0</v>
      </c>
      <c r="H107" s="48" t="b">
        <v>0</v>
      </c>
      <c r="M107" s="45">
        <v>16</v>
      </c>
    </row>
    <row r="108" spans="1:13" s="45" customFormat="1" ht="15.75">
      <c r="A108" s="46">
        <v>107</v>
      </c>
      <c r="B108" s="47" t="s">
        <v>604</v>
      </c>
      <c r="C108" s="47" t="s">
        <v>605</v>
      </c>
      <c r="D108" s="50" t="s">
        <v>606</v>
      </c>
      <c r="E108" s="48" t="b">
        <v>0</v>
      </c>
      <c r="F108" s="48" t="b">
        <v>0</v>
      </c>
      <c r="G108" s="49" t="b">
        <v>0</v>
      </c>
      <c r="H108" s="48" t="b">
        <v>0</v>
      </c>
      <c r="M108" s="45">
        <v>17</v>
      </c>
    </row>
    <row r="109" spans="1:13" s="45" customFormat="1" ht="15.75">
      <c r="A109" s="46">
        <v>108</v>
      </c>
      <c r="B109" s="47" t="s">
        <v>92</v>
      </c>
      <c r="C109" s="47" t="s">
        <v>93</v>
      </c>
      <c r="D109" s="50" t="s">
        <v>94</v>
      </c>
      <c r="E109" s="48" t="b">
        <v>0</v>
      </c>
      <c r="F109" s="48" t="b">
        <v>0</v>
      </c>
      <c r="G109" s="49" t="b">
        <v>1</v>
      </c>
      <c r="H109" s="48" t="b">
        <v>0</v>
      </c>
      <c r="M109" s="45">
        <v>18</v>
      </c>
    </row>
    <row r="110" spans="1:13" s="45" customFormat="1" ht="15.75">
      <c r="A110" s="46">
        <v>109</v>
      </c>
      <c r="B110" s="47" t="s">
        <v>607</v>
      </c>
      <c r="C110" s="47" t="s">
        <v>608</v>
      </c>
      <c r="D110" s="50" t="s">
        <v>609</v>
      </c>
      <c r="E110" s="48" t="b">
        <v>0</v>
      </c>
      <c r="F110" s="48" t="b">
        <v>0</v>
      </c>
      <c r="G110" s="49" t="b">
        <v>0</v>
      </c>
      <c r="H110" s="48" t="b">
        <v>0</v>
      </c>
      <c r="M110" s="45">
        <v>19</v>
      </c>
    </row>
    <row r="111" spans="1:13" s="45" customFormat="1" ht="15.75">
      <c r="A111" s="46">
        <v>110</v>
      </c>
      <c r="B111" s="47" t="s">
        <v>610</v>
      </c>
      <c r="C111" s="47" t="s">
        <v>611</v>
      </c>
      <c r="D111" s="50" t="s">
        <v>612</v>
      </c>
      <c r="E111" s="48" t="b">
        <v>0</v>
      </c>
      <c r="F111" s="48" t="b">
        <v>0</v>
      </c>
      <c r="G111" s="49" t="b">
        <v>0</v>
      </c>
      <c r="H111" s="48" t="b">
        <v>0</v>
      </c>
      <c r="M111" s="45">
        <v>20</v>
      </c>
    </row>
    <row r="112" spans="1:13" s="45" customFormat="1" ht="15.75">
      <c r="A112" s="46">
        <v>111</v>
      </c>
      <c r="B112" s="47" t="s">
        <v>613</v>
      </c>
      <c r="C112" s="47" t="s">
        <v>614</v>
      </c>
      <c r="D112" s="50" t="s">
        <v>615</v>
      </c>
      <c r="E112" s="48" t="b">
        <v>0</v>
      </c>
      <c r="F112" s="48" t="b">
        <v>0</v>
      </c>
      <c r="G112" s="49" t="b">
        <v>0</v>
      </c>
      <c r="H112" s="48" t="b">
        <v>0</v>
      </c>
      <c r="M112" s="45">
        <v>21</v>
      </c>
    </row>
    <row r="113" spans="1:13" s="45" customFormat="1" ht="15.75">
      <c r="A113" s="46">
        <v>112</v>
      </c>
      <c r="B113" s="47" t="s">
        <v>616</v>
      </c>
      <c r="C113" s="47" t="s">
        <v>617</v>
      </c>
      <c r="D113" s="50" t="s">
        <v>618</v>
      </c>
      <c r="E113" s="48" t="b">
        <v>0</v>
      </c>
      <c r="F113" s="48" t="b">
        <v>0</v>
      </c>
      <c r="G113" s="49" t="b">
        <v>0</v>
      </c>
      <c r="H113" s="48" t="b">
        <v>0</v>
      </c>
      <c r="M113" s="45">
        <v>22</v>
      </c>
    </row>
    <row r="114" spans="1:13" s="45" customFormat="1" ht="15.75">
      <c r="A114" s="46">
        <v>113</v>
      </c>
      <c r="B114" s="47" t="s">
        <v>619</v>
      </c>
      <c r="C114" s="47" t="s">
        <v>620</v>
      </c>
      <c r="D114" s="50" t="s">
        <v>621</v>
      </c>
      <c r="E114" s="48" t="b">
        <v>0</v>
      </c>
      <c r="F114" s="48" t="b">
        <v>0</v>
      </c>
      <c r="G114" s="49" t="b">
        <v>0</v>
      </c>
      <c r="H114" s="48" t="b">
        <v>0</v>
      </c>
      <c r="M114" s="45">
        <v>23</v>
      </c>
    </row>
    <row r="115" spans="1:13" s="45" customFormat="1" ht="15.75">
      <c r="A115" s="46">
        <v>114</v>
      </c>
      <c r="B115" s="47" t="s">
        <v>622</v>
      </c>
      <c r="C115" s="47" t="s">
        <v>623</v>
      </c>
      <c r="D115" s="50" t="s">
        <v>624</v>
      </c>
      <c r="E115" s="48" t="b">
        <v>0</v>
      </c>
      <c r="F115" s="48" t="b">
        <v>0</v>
      </c>
      <c r="G115" s="49" t="b">
        <v>0</v>
      </c>
      <c r="H115" s="48" t="b">
        <v>0</v>
      </c>
      <c r="M115" s="45">
        <v>24</v>
      </c>
    </row>
    <row r="116" spans="1:13" s="45" customFormat="1" ht="15.75">
      <c r="A116" s="46">
        <v>115</v>
      </c>
      <c r="B116" s="47" t="s">
        <v>625</v>
      </c>
      <c r="C116" s="47" t="s">
        <v>626</v>
      </c>
      <c r="D116" s="50" t="s">
        <v>627</v>
      </c>
      <c r="E116" s="48" t="b">
        <v>0</v>
      </c>
      <c r="F116" s="48" t="b">
        <v>0</v>
      </c>
      <c r="G116" s="49" t="b">
        <v>0</v>
      </c>
      <c r="H116" s="48" t="b">
        <v>0</v>
      </c>
      <c r="M116" s="45">
        <v>25</v>
      </c>
    </row>
    <row r="117" spans="1:13" s="45" customFormat="1" ht="15.75">
      <c r="A117" s="46">
        <v>116</v>
      </c>
      <c r="B117" s="47" t="s">
        <v>628</v>
      </c>
      <c r="C117" s="47" t="s">
        <v>629</v>
      </c>
      <c r="D117" s="50" t="s">
        <v>630</v>
      </c>
      <c r="E117" s="48" t="b">
        <v>0</v>
      </c>
      <c r="F117" s="48" t="b">
        <v>0</v>
      </c>
      <c r="G117" s="49" t="b">
        <v>0</v>
      </c>
      <c r="H117" s="48" t="b">
        <v>0</v>
      </c>
      <c r="M117" s="45">
        <v>26</v>
      </c>
    </row>
    <row r="118" spans="1:13" s="45" customFormat="1" ht="15.75">
      <c r="A118" s="46">
        <v>117</v>
      </c>
      <c r="B118" s="47" t="s">
        <v>631</v>
      </c>
      <c r="C118" s="47" t="s">
        <v>632</v>
      </c>
      <c r="D118" s="50" t="s">
        <v>633</v>
      </c>
      <c r="E118" s="48" t="b">
        <v>0</v>
      </c>
      <c r="F118" s="48" t="b">
        <v>0</v>
      </c>
      <c r="G118" s="49" t="b">
        <v>0</v>
      </c>
      <c r="H118" s="48" t="b">
        <v>0</v>
      </c>
      <c r="M118" s="45">
        <v>27</v>
      </c>
    </row>
    <row r="119" spans="1:13" s="45" customFormat="1" ht="15.75">
      <c r="A119" s="46">
        <v>118</v>
      </c>
      <c r="B119" s="47" t="s">
        <v>634</v>
      </c>
      <c r="C119" s="47" t="s">
        <v>635</v>
      </c>
      <c r="D119" s="50" t="s">
        <v>636</v>
      </c>
      <c r="E119" s="48" t="b">
        <v>0</v>
      </c>
      <c r="F119" s="48" t="b">
        <v>0</v>
      </c>
      <c r="G119" s="49" t="b">
        <v>0</v>
      </c>
      <c r="H119" s="48" t="b">
        <v>0</v>
      </c>
      <c r="M119" s="45">
        <v>28</v>
      </c>
    </row>
    <row r="120" spans="1:13" s="45" customFormat="1" ht="15.75">
      <c r="A120" s="46">
        <v>119</v>
      </c>
      <c r="B120" s="47" t="s">
        <v>108</v>
      </c>
      <c r="C120" s="47" t="s">
        <v>109</v>
      </c>
      <c r="D120" s="50" t="s">
        <v>110</v>
      </c>
      <c r="E120" s="48" t="b">
        <v>0</v>
      </c>
      <c r="F120" s="48" t="b">
        <v>0</v>
      </c>
      <c r="G120" s="49" t="b">
        <v>1</v>
      </c>
      <c r="H120" s="48" t="b">
        <v>0</v>
      </c>
      <c r="M120" s="45">
        <v>29</v>
      </c>
    </row>
    <row r="121" spans="1:13" s="45" customFormat="1" ht="15.75">
      <c r="A121" s="46">
        <v>120</v>
      </c>
      <c r="B121" s="47" t="s">
        <v>637</v>
      </c>
      <c r="C121" s="47" t="s">
        <v>638</v>
      </c>
      <c r="D121" s="50" t="s">
        <v>639</v>
      </c>
      <c r="E121" s="48" t="b">
        <v>0</v>
      </c>
      <c r="F121" s="48" t="b">
        <v>0</v>
      </c>
      <c r="G121" s="49" t="b">
        <v>0</v>
      </c>
      <c r="H121" s="48" t="b">
        <v>0</v>
      </c>
      <c r="M121" s="45">
        <v>30</v>
      </c>
    </row>
    <row r="122" spans="1:13" s="45" customFormat="1" ht="15.75">
      <c r="A122" s="46">
        <v>121</v>
      </c>
      <c r="B122" s="47" t="s">
        <v>640</v>
      </c>
      <c r="C122" s="47" t="s">
        <v>641</v>
      </c>
      <c r="D122" s="50" t="s">
        <v>642</v>
      </c>
      <c r="E122" s="48" t="b">
        <v>0</v>
      </c>
      <c r="F122" s="48" t="b">
        <v>0</v>
      </c>
      <c r="G122" s="49" t="b">
        <v>0</v>
      </c>
      <c r="H122" s="48" t="b">
        <v>0</v>
      </c>
      <c r="M122" s="45">
        <v>31</v>
      </c>
    </row>
    <row r="123" spans="1:13" s="45" customFormat="1" ht="15.75">
      <c r="A123" s="46">
        <v>122</v>
      </c>
      <c r="B123" s="47" t="s">
        <v>643</v>
      </c>
      <c r="C123" s="47" t="s">
        <v>644</v>
      </c>
      <c r="D123" s="50" t="s">
        <v>645</v>
      </c>
      <c r="E123" s="48" t="b">
        <v>0</v>
      </c>
      <c r="F123" s="48" t="b">
        <v>0</v>
      </c>
      <c r="G123" s="49" t="b">
        <v>0</v>
      </c>
      <c r="H123" s="48" t="b">
        <v>0</v>
      </c>
      <c r="M123" s="45">
        <v>32</v>
      </c>
    </row>
    <row r="124" spans="1:13" s="45" customFormat="1" ht="15.75">
      <c r="A124" s="46">
        <v>123</v>
      </c>
      <c r="B124" s="47" t="s">
        <v>646</v>
      </c>
      <c r="C124" s="47" t="s">
        <v>647</v>
      </c>
      <c r="D124" s="50" t="s">
        <v>648</v>
      </c>
      <c r="E124" s="48" t="b">
        <v>0</v>
      </c>
      <c r="F124" s="48" t="b">
        <v>0</v>
      </c>
      <c r="G124" s="49" t="b">
        <v>0</v>
      </c>
      <c r="H124" s="48" t="b">
        <v>0</v>
      </c>
      <c r="M124" s="45">
        <v>33</v>
      </c>
    </row>
    <row r="125" spans="1:13" s="45" customFormat="1" ht="15.75">
      <c r="A125" s="46">
        <v>124</v>
      </c>
      <c r="B125" s="47" t="s">
        <v>128</v>
      </c>
      <c r="C125" s="47" t="s">
        <v>129</v>
      </c>
      <c r="D125" s="50" t="s">
        <v>130</v>
      </c>
      <c r="E125" s="48" t="b">
        <v>0</v>
      </c>
      <c r="F125" s="48" t="b">
        <v>0</v>
      </c>
      <c r="G125" s="49" t="b">
        <v>1</v>
      </c>
      <c r="H125" s="48" t="b">
        <v>0</v>
      </c>
      <c r="M125" s="45">
        <v>34</v>
      </c>
    </row>
    <row r="126" spans="1:13" s="45" customFormat="1" ht="15.75">
      <c r="A126" s="46">
        <v>125</v>
      </c>
      <c r="B126" s="47" t="s">
        <v>649</v>
      </c>
      <c r="C126" s="47" t="s">
        <v>650</v>
      </c>
      <c r="D126" s="50" t="s">
        <v>651</v>
      </c>
      <c r="E126" s="48" t="b">
        <v>0</v>
      </c>
      <c r="F126" s="48" t="b">
        <v>0</v>
      </c>
      <c r="G126" s="49" t="b">
        <v>0</v>
      </c>
      <c r="H126" s="48" t="b">
        <v>0</v>
      </c>
      <c r="M126" s="45">
        <v>35</v>
      </c>
    </row>
    <row r="127" spans="1:13" s="45" customFormat="1" ht="15.75">
      <c r="A127" s="46">
        <v>126</v>
      </c>
      <c r="B127" s="47" t="s">
        <v>652</v>
      </c>
      <c r="C127" s="47" t="s">
        <v>653</v>
      </c>
      <c r="D127" s="50" t="s">
        <v>654</v>
      </c>
      <c r="E127" s="48" t="b">
        <v>0</v>
      </c>
      <c r="F127" s="48" t="b">
        <v>0</v>
      </c>
      <c r="G127" s="49" t="b">
        <v>0</v>
      </c>
      <c r="H127" s="48" t="b">
        <v>0</v>
      </c>
      <c r="M127" s="45">
        <v>36</v>
      </c>
    </row>
    <row r="128" spans="1:13" s="45" customFormat="1" ht="15.75">
      <c r="A128" s="46">
        <v>127</v>
      </c>
      <c r="B128" s="47" t="s">
        <v>655</v>
      </c>
      <c r="C128" s="47" t="s">
        <v>656</v>
      </c>
      <c r="D128" s="50" t="s">
        <v>657</v>
      </c>
      <c r="E128" s="48" t="b">
        <v>0</v>
      </c>
      <c r="F128" s="48" t="b">
        <v>0</v>
      </c>
      <c r="G128" s="49" t="b">
        <v>0</v>
      </c>
      <c r="H128" s="48" t="b">
        <v>0</v>
      </c>
      <c r="M128" s="45">
        <v>37</v>
      </c>
    </row>
    <row r="129" spans="1:13" s="45" customFormat="1" ht="15.75">
      <c r="A129" s="46">
        <v>128</v>
      </c>
      <c r="B129" s="47" t="s">
        <v>658</v>
      </c>
      <c r="C129" s="47" t="s">
        <v>659</v>
      </c>
      <c r="D129" s="50" t="s">
        <v>660</v>
      </c>
      <c r="E129" s="48" t="b">
        <v>0</v>
      </c>
      <c r="F129" s="48" t="b">
        <v>0</v>
      </c>
      <c r="G129" s="49" t="b">
        <v>0</v>
      </c>
      <c r="H129" s="48" t="b">
        <v>0</v>
      </c>
      <c r="M129" s="45">
        <v>38</v>
      </c>
    </row>
    <row r="130" spans="1:13" s="45" customFormat="1" ht="15.75">
      <c r="A130" s="46">
        <v>129</v>
      </c>
      <c r="B130" s="47" t="s">
        <v>661</v>
      </c>
      <c r="C130" s="47" t="s">
        <v>662</v>
      </c>
      <c r="D130" s="50" t="s">
        <v>663</v>
      </c>
      <c r="E130" s="48" t="b">
        <v>0</v>
      </c>
      <c r="F130" s="48" t="b">
        <v>0</v>
      </c>
      <c r="G130" s="49" t="b">
        <v>0</v>
      </c>
      <c r="H130" s="48" t="b">
        <v>0</v>
      </c>
      <c r="M130" s="45">
        <v>39</v>
      </c>
    </row>
    <row r="131" spans="1:13" s="45" customFormat="1" ht="15.75">
      <c r="A131" s="46">
        <v>130</v>
      </c>
      <c r="B131" s="47" t="s">
        <v>664</v>
      </c>
      <c r="C131" s="47" t="s">
        <v>665</v>
      </c>
      <c r="D131" s="50" t="s">
        <v>666</v>
      </c>
      <c r="E131" s="48" t="b">
        <v>0</v>
      </c>
      <c r="F131" s="48" t="b">
        <v>0</v>
      </c>
      <c r="G131" s="49" t="b">
        <v>0</v>
      </c>
      <c r="H131" s="48" t="b">
        <v>0</v>
      </c>
      <c r="M131" s="45">
        <v>40</v>
      </c>
    </row>
    <row r="132" spans="1:13" s="45" customFormat="1" ht="15.75">
      <c r="A132" s="46">
        <v>131</v>
      </c>
      <c r="B132" s="47" t="s">
        <v>140</v>
      </c>
      <c r="C132" s="47" t="s">
        <v>141</v>
      </c>
      <c r="D132" s="50" t="s">
        <v>142</v>
      </c>
      <c r="E132" s="48" t="b">
        <v>0</v>
      </c>
      <c r="F132" s="48" t="b">
        <v>0</v>
      </c>
      <c r="G132" s="49" t="b">
        <v>1</v>
      </c>
      <c r="H132" s="48" t="b">
        <v>0</v>
      </c>
      <c r="M132" s="45">
        <v>41</v>
      </c>
    </row>
    <row r="133" spans="1:13" s="45" customFormat="1" ht="15.75">
      <c r="A133" s="46">
        <v>132</v>
      </c>
      <c r="B133" s="47" t="s">
        <v>667</v>
      </c>
      <c r="C133" s="47" t="s">
        <v>668</v>
      </c>
      <c r="D133" s="50" t="s">
        <v>669</v>
      </c>
      <c r="E133" s="48" t="b">
        <v>0</v>
      </c>
      <c r="F133" s="48" t="b">
        <v>0</v>
      </c>
      <c r="G133" s="49" t="b">
        <v>0</v>
      </c>
      <c r="H133" s="48" t="b">
        <v>0</v>
      </c>
      <c r="M133" s="45">
        <v>42</v>
      </c>
    </row>
    <row r="134" spans="1:13" s="45" customFormat="1" ht="15.75">
      <c r="A134" s="46">
        <v>133</v>
      </c>
      <c r="B134" s="47" t="s">
        <v>670</v>
      </c>
      <c r="C134" s="47" t="s">
        <v>671</v>
      </c>
      <c r="D134" s="50" t="s">
        <v>672</v>
      </c>
      <c r="E134" s="48" t="b">
        <v>0</v>
      </c>
      <c r="F134" s="48" t="b">
        <v>0</v>
      </c>
      <c r="G134" s="49" t="b">
        <v>0</v>
      </c>
      <c r="H134" s="48" t="b">
        <v>0</v>
      </c>
      <c r="M134" s="45">
        <v>43</v>
      </c>
    </row>
    <row r="135" spans="1:13" s="45" customFormat="1" ht="15.75">
      <c r="A135" s="46">
        <v>134</v>
      </c>
      <c r="B135" s="47" t="s">
        <v>673</v>
      </c>
      <c r="C135" s="47" t="s">
        <v>674</v>
      </c>
      <c r="D135" s="50" t="s">
        <v>675</v>
      </c>
      <c r="E135" s="48" t="b">
        <v>0</v>
      </c>
      <c r="F135" s="48" t="b">
        <v>0</v>
      </c>
      <c r="G135" s="49" t="b">
        <v>0</v>
      </c>
      <c r="H135" s="48" t="b">
        <v>0</v>
      </c>
      <c r="M135" s="45">
        <v>44</v>
      </c>
    </row>
    <row r="136" spans="1:13" s="45" customFormat="1" ht="15.75">
      <c r="A136" s="46">
        <v>135</v>
      </c>
      <c r="B136" s="47" t="s">
        <v>676</v>
      </c>
      <c r="C136" s="47" t="s">
        <v>677</v>
      </c>
      <c r="D136" s="50" t="s">
        <v>678</v>
      </c>
      <c r="E136" s="48" t="b">
        <v>0</v>
      </c>
      <c r="F136" s="48" t="b">
        <v>0</v>
      </c>
      <c r="G136" s="49" t="b">
        <v>0</v>
      </c>
      <c r="H136" s="48" t="b">
        <v>0</v>
      </c>
      <c r="M136" s="45">
        <v>45</v>
      </c>
    </row>
    <row r="137" spans="1:13" s="45" customFormat="1" ht="15.75">
      <c r="A137" s="46">
        <v>136</v>
      </c>
      <c r="B137" s="47" t="s">
        <v>170</v>
      </c>
      <c r="C137" s="47" t="s">
        <v>171</v>
      </c>
      <c r="D137" s="50" t="s">
        <v>172</v>
      </c>
      <c r="E137" s="48" t="b">
        <v>0</v>
      </c>
      <c r="F137" s="48" t="b">
        <v>0</v>
      </c>
      <c r="G137" s="49" t="b">
        <v>1</v>
      </c>
      <c r="H137" s="48" t="b">
        <v>0</v>
      </c>
      <c r="M137" s="45">
        <v>46</v>
      </c>
    </row>
    <row r="138" spans="1:13" s="45" customFormat="1" ht="15.75">
      <c r="A138" s="46">
        <v>137</v>
      </c>
      <c r="B138" s="47" t="s">
        <v>679</v>
      </c>
      <c r="C138" s="47" t="s">
        <v>680</v>
      </c>
      <c r="D138" s="50" t="s">
        <v>681</v>
      </c>
      <c r="E138" s="48" t="b">
        <v>0</v>
      </c>
      <c r="F138" s="48" t="b">
        <v>0</v>
      </c>
      <c r="G138" s="49" t="b">
        <v>0</v>
      </c>
      <c r="H138" s="48" t="b">
        <v>0</v>
      </c>
      <c r="M138" s="45">
        <v>47</v>
      </c>
    </row>
    <row r="139" spans="1:13" s="45" customFormat="1" ht="15.75">
      <c r="A139" s="46">
        <v>138</v>
      </c>
      <c r="B139" s="47" t="s">
        <v>682</v>
      </c>
      <c r="C139" s="47" t="s">
        <v>683</v>
      </c>
      <c r="D139" s="50" t="s">
        <v>684</v>
      </c>
      <c r="E139" s="48" t="b">
        <v>0</v>
      </c>
      <c r="F139" s="48" t="b">
        <v>0</v>
      </c>
      <c r="G139" s="49" t="b">
        <v>0</v>
      </c>
      <c r="H139" s="48" t="b">
        <v>0</v>
      </c>
      <c r="M139" s="45">
        <v>48</v>
      </c>
    </row>
    <row r="140" spans="1:13" s="45" customFormat="1" ht="15.75">
      <c r="A140" s="46">
        <v>139</v>
      </c>
      <c r="B140" s="47" t="s">
        <v>685</v>
      </c>
      <c r="C140" s="47" t="s">
        <v>686</v>
      </c>
      <c r="D140" s="50" t="s">
        <v>687</v>
      </c>
      <c r="E140" s="48" t="b">
        <v>0</v>
      </c>
      <c r="F140" s="48" t="b">
        <v>0</v>
      </c>
      <c r="G140" s="49" t="b">
        <v>0</v>
      </c>
      <c r="H140" s="48" t="b">
        <v>0</v>
      </c>
      <c r="M140" s="45">
        <v>49</v>
      </c>
    </row>
    <row r="141" spans="1:13" s="45" customFormat="1" ht="15.75">
      <c r="A141" s="46">
        <v>140</v>
      </c>
      <c r="B141" s="47" t="s">
        <v>688</v>
      </c>
      <c r="C141" s="47" t="s">
        <v>689</v>
      </c>
      <c r="D141" s="50" t="s">
        <v>690</v>
      </c>
      <c r="E141" s="48" t="b">
        <v>0</v>
      </c>
      <c r="F141" s="48" t="b">
        <v>0</v>
      </c>
      <c r="G141" s="49" t="b">
        <v>0</v>
      </c>
      <c r="H141" s="48" t="b">
        <v>0</v>
      </c>
      <c r="M141" s="45">
        <v>50</v>
      </c>
    </row>
    <row r="142" spans="1:13" s="45" customFormat="1" ht="15.75">
      <c r="A142" s="46">
        <v>141</v>
      </c>
      <c r="B142" s="47" t="s">
        <v>691</v>
      </c>
      <c r="C142" s="47" t="s">
        <v>692</v>
      </c>
      <c r="D142" s="50" t="s">
        <v>693</v>
      </c>
      <c r="E142" s="48" t="b">
        <v>0</v>
      </c>
      <c r="F142" s="48" t="b">
        <v>0</v>
      </c>
      <c r="G142" s="49" t="b">
        <v>0</v>
      </c>
      <c r="H142" s="48" t="b">
        <v>0</v>
      </c>
      <c r="M142" s="45">
        <v>51</v>
      </c>
    </row>
    <row r="143" spans="1:13" s="45" customFormat="1" ht="15.75">
      <c r="A143" s="46">
        <v>142</v>
      </c>
      <c r="B143" s="47" t="s">
        <v>694</v>
      </c>
      <c r="C143" s="47" t="s">
        <v>695</v>
      </c>
      <c r="D143" s="50" t="s">
        <v>696</v>
      </c>
      <c r="E143" s="48" t="b">
        <v>0</v>
      </c>
      <c r="F143" s="48" t="b">
        <v>0</v>
      </c>
      <c r="G143" s="49" t="b">
        <v>0</v>
      </c>
      <c r="H143" s="48" t="b">
        <v>0</v>
      </c>
      <c r="M143" s="45">
        <v>52</v>
      </c>
    </row>
    <row r="144" spans="1:13" s="45" customFormat="1" ht="15.75">
      <c r="A144" s="46">
        <v>143</v>
      </c>
      <c r="B144" s="47" t="s">
        <v>697</v>
      </c>
      <c r="C144" s="47" t="s">
        <v>698</v>
      </c>
      <c r="D144" s="50" t="s">
        <v>699</v>
      </c>
      <c r="E144" s="48" t="b">
        <v>0</v>
      </c>
      <c r="F144" s="48" t="b">
        <v>0</v>
      </c>
      <c r="G144" s="49" t="b">
        <v>0</v>
      </c>
      <c r="H144" s="48" t="b">
        <v>0</v>
      </c>
      <c r="M144" s="45">
        <v>53</v>
      </c>
    </row>
    <row r="145" spans="1:13" s="45" customFormat="1" ht="15.75">
      <c r="A145" s="46">
        <v>144</v>
      </c>
      <c r="B145" s="47" t="s">
        <v>700</v>
      </c>
      <c r="C145" s="47" t="s">
        <v>701</v>
      </c>
      <c r="D145" s="50" t="s">
        <v>702</v>
      </c>
      <c r="E145" s="48" t="b">
        <v>0</v>
      </c>
      <c r="F145" s="48" t="b">
        <v>0</v>
      </c>
      <c r="G145" s="49" t="b">
        <v>0</v>
      </c>
      <c r="H145" s="48" t="b">
        <v>0</v>
      </c>
      <c r="M145" s="45">
        <v>54</v>
      </c>
    </row>
    <row r="146" spans="1:13" s="45" customFormat="1" ht="15.75">
      <c r="A146" s="46">
        <v>145</v>
      </c>
      <c r="B146" s="47" t="s">
        <v>703</v>
      </c>
      <c r="C146" s="47" t="s">
        <v>704</v>
      </c>
      <c r="D146" s="50" t="s">
        <v>705</v>
      </c>
      <c r="E146" s="48" t="b">
        <v>0</v>
      </c>
      <c r="F146" s="48" t="b">
        <v>0</v>
      </c>
      <c r="G146" s="49" t="b">
        <v>0</v>
      </c>
      <c r="H146" s="48" t="b">
        <v>0</v>
      </c>
      <c r="M146" s="45">
        <v>55</v>
      </c>
    </row>
    <row r="147" spans="1:13" s="45" customFormat="1" ht="15.75">
      <c r="A147" s="46">
        <v>146</v>
      </c>
      <c r="B147" s="47" t="s">
        <v>706</v>
      </c>
      <c r="C147" s="47" t="s">
        <v>707</v>
      </c>
      <c r="D147" s="50" t="s">
        <v>708</v>
      </c>
      <c r="E147" s="48" t="b">
        <v>0</v>
      </c>
      <c r="F147" s="48" t="b">
        <v>0</v>
      </c>
      <c r="G147" s="49" t="b">
        <v>0</v>
      </c>
      <c r="H147" s="48" t="b">
        <v>0</v>
      </c>
      <c r="M147" s="45">
        <v>56</v>
      </c>
    </row>
    <row r="148" spans="1:13" s="45" customFormat="1" ht="15.75">
      <c r="A148" s="46">
        <v>147</v>
      </c>
      <c r="B148" s="47" t="s">
        <v>709</v>
      </c>
      <c r="C148" s="47" t="s">
        <v>710</v>
      </c>
      <c r="D148" s="50" t="s">
        <v>711</v>
      </c>
      <c r="E148" s="48" t="b">
        <v>0</v>
      </c>
      <c r="F148" s="48" t="b">
        <v>0</v>
      </c>
      <c r="G148" s="49" t="b">
        <v>0</v>
      </c>
      <c r="H148" s="48" t="b">
        <v>0</v>
      </c>
      <c r="M148" s="45">
        <v>57</v>
      </c>
    </row>
    <row r="149" spans="1:13" s="45" customFormat="1" ht="15.75">
      <c r="A149" s="46">
        <v>148</v>
      </c>
      <c r="B149" s="47" t="s">
        <v>712</v>
      </c>
      <c r="C149" s="47" t="s">
        <v>713</v>
      </c>
      <c r="D149" s="50" t="s">
        <v>714</v>
      </c>
      <c r="E149" s="48" t="b">
        <v>0</v>
      </c>
      <c r="F149" s="48" t="b">
        <v>0</v>
      </c>
      <c r="G149" s="49" t="b">
        <v>0</v>
      </c>
      <c r="H149" s="48" t="b">
        <v>0</v>
      </c>
      <c r="M149" s="45">
        <v>58</v>
      </c>
    </row>
    <row r="150" spans="1:13" s="45" customFormat="1" ht="15.75">
      <c r="A150" s="46">
        <v>149</v>
      </c>
      <c r="B150" s="47" t="s">
        <v>715</v>
      </c>
      <c r="C150" s="47" t="s">
        <v>716</v>
      </c>
      <c r="D150" s="50" t="s">
        <v>717</v>
      </c>
      <c r="E150" s="48" t="b">
        <v>0</v>
      </c>
      <c r="F150" s="48" t="b">
        <v>0</v>
      </c>
      <c r="G150" s="49" t="b">
        <v>0</v>
      </c>
      <c r="H150" s="48" t="b">
        <v>0</v>
      </c>
      <c r="M150" s="45">
        <v>59</v>
      </c>
    </row>
    <row r="151" spans="1:13" s="45" customFormat="1" ht="15.75">
      <c r="A151" s="46">
        <v>150</v>
      </c>
      <c r="B151" s="47" t="s">
        <v>718</v>
      </c>
      <c r="C151" s="47" t="s">
        <v>719</v>
      </c>
      <c r="D151" s="50" t="s">
        <v>720</v>
      </c>
      <c r="E151" s="48" t="b">
        <v>0</v>
      </c>
      <c r="F151" s="48" t="b">
        <v>0</v>
      </c>
      <c r="G151" s="49" t="b">
        <v>0</v>
      </c>
      <c r="H151" s="48" t="b">
        <v>0</v>
      </c>
      <c r="M151" s="45">
        <v>60</v>
      </c>
    </row>
    <row r="152" spans="1:13" s="45" customFormat="1" ht="15.75">
      <c r="A152" s="46">
        <v>151</v>
      </c>
      <c r="B152" s="47" t="s">
        <v>186</v>
      </c>
      <c r="C152" s="47" t="s">
        <v>187</v>
      </c>
      <c r="D152" s="50" t="s">
        <v>188</v>
      </c>
      <c r="E152" s="48" t="b">
        <v>0</v>
      </c>
      <c r="F152" s="48" t="b">
        <v>0</v>
      </c>
      <c r="G152" s="49" t="b">
        <v>1</v>
      </c>
      <c r="H152" s="48" t="b">
        <v>0</v>
      </c>
      <c r="M152" s="45">
        <v>61</v>
      </c>
    </row>
    <row r="153" spans="1:13" s="45" customFormat="1" ht="15.75">
      <c r="A153" s="46">
        <v>152</v>
      </c>
      <c r="B153" s="47" t="s">
        <v>721</v>
      </c>
      <c r="C153" s="47" t="s">
        <v>722</v>
      </c>
      <c r="D153" s="50" t="s">
        <v>723</v>
      </c>
      <c r="E153" s="48" t="b">
        <v>0</v>
      </c>
      <c r="F153" s="48" t="b">
        <v>0</v>
      </c>
      <c r="G153" s="49" t="b">
        <v>0</v>
      </c>
      <c r="H153" s="48" t="b">
        <v>0</v>
      </c>
      <c r="M153" s="45">
        <v>62</v>
      </c>
    </row>
    <row r="154" spans="1:13" s="45" customFormat="1" ht="15.75">
      <c r="A154" s="46">
        <v>153</v>
      </c>
      <c r="B154" s="47" t="s">
        <v>724</v>
      </c>
      <c r="C154" s="47" t="s">
        <v>725</v>
      </c>
      <c r="D154" s="50" t="s">
        <v>726</v>
      </c>
      <c r="E154" s="48" t="b">
        <v>0</v>
      </c>
      <c r="F154" s="48" t="b">
        <v>0</v>
      </c>
      <c r="G154" s="49" t="b">
        <v>0</v>
      </c>
      <c r="H154" s="48" t="b">
        <v>0</v>
      </c>
      <c r="M154" s="45">
        <v>63</v>
      </c>
    </row>
    <row r="155" spans="1:13" s="45" customFormat="1" ht="15.75">
      <c r="A155" s="46">
        <v>154</v>
      </c>
      <c r="B155" s="47" t="s">
        <v>727</v>
      </c>
      <c r="C155" s="47" t="s">
        <v>728</v>
      </c>
      <c r="D155" s="50" t="s">
        <v>729</v>
      </c>
      <c r="E155" s="48" t="b">
        <v>0</v>
      </c>
      <c r="F155" s="48" t="b">
        <v>0</v>
      </c>
      <c r="G155" s="49" t="b">
        <v>0</v>
      </c>
      <c r="H155" s="48" t="b">
        <v>0</v>
      </c>
      <c r="M155" s="45">
        <v>64</v>
      </c>
    </row>
    <row r="156" spans="1:13" s="45" customFormat="1" ht="15.75">
      <c r="A156" s="46">
        <v>155</v>
      </c>
      <c r="B156" s="47" t="s">
        <v>730</v>
      </c>
      <c r="C156" s="47" t="s">
        <v>731</v>
      </c>
      <c r="D156" s="50" t="s">
        <v>732</v>
      </c>
      <c r="E156" s="48" t="b">
        <v>0</v>
      </c>
      <c r="F156" s="48" t="b">
        <v>0</v>
      </c>
      <c r="G156" s="49" t="b">
        <v>0</v>
      </c>
      <c r="H156" s="48" t="b">
        <v>0</v>
      </c>
      <c r="M156" s="45">
        <v>65</v>
      </c>
    </row>
    <row r="157" spans="1:13" s="45" customFormat="1" ht="15.75">
      <c r="A157" s="46">
        <v>156</v>
      </c>
      <c r="B157" s="47" t="s">
        <v>733</v>
      </c>
      <c r="C157" s="47" t="s">
        <v>734</v>
      </c>
      <c r="D157" s="50" t="s">
        <v>735</v>
      </c>
      <c r="E157" s="48" t="b">
        <v>0</v>
      </c>
      <c r="F157" s="48" t="b">
        <v>0</v>
      </c>
      <c r="G157" s="49" t="b">
        <v>0</v>
      </c>
      <c r="H157" s="48" t="b">
        <v>0</v>
      </c>
      <c r="M157" s="45">
        <v>66</v>
      </c>
    </row>
    <row r="158" spans="1:13" s="45" customFormat="1" ht="15.75">
      <c r="A158" s="46">
        <v>157</v>
      </c>
      <c r="B158" s="47" t="s">
        <v>736</v>
      </c>
      <c r="C158" s="47" t="s">
        <v>737</v>
      </c>
      <c r="D158" s="50" t="s">
        <v>738</v>
      </c>
      <c r="E158" s="48" t="b">
        <v>0</v>
      </c>
      <c r="F158" s="48" t="b">
        <v>0</v>
      </c>
      <c r="G158" s="49" t="b">
        <v>0</v>
      </c>
      <c r="H158" s="48" t="b">
        <v>0</v>
      </c>
      <c r="M158" s="45">
        <v>67</v>
      </c>
    </row>
    <row r="159" spans="1:13" s="45" customFormat="1" ht="15.75">
      <c r="A159" s="46">
        <v>158</v>
      </c>
      <c r="B159" s="47" t="s">
        <v>221</v>
      </c>
      <c r="C159" s="47" t="s">
        <v>222</v>
      </c>
      <c r="D159" s="50" t="s">
        <v>223</v>
      </c>
      <c r="E159" s="48" t="b">
        <v>0</v>
      </c>
      <c r="F159" s="48" t="b">
        <v>0</v>
      </c>
      <c r="G159" s="49" t="b">
        <v>1</v>
      </c>
      <c r="H159" s="48" t="b">
        <v>0</v>
      </c>
      <c r="M159" s="45">
        <v>68</v>
      </c>
    </row>
    <row r="160" spans="1:13" s="45" customFormat="1" ht="15.75">
      <c r="A160" s="46">
        <v>159</v>
      </c>
      <c r="B160" s="47" t="s">
        <v>739</v>
      </c>
      <c r="C160" s="47" t="s">
        <v>740</v>
      </c>
      <c r="D160" s="50" t="s">
        <v>741</v>
      </c>
      <c r="E160" s="48" t="b">
        <v>0</v>
      </c>
      <c r="F160" s="48" t="b">
        <v>0</v>
      </c>
      <c r="G160" s="49" t="b">
        <v>0</v>
      </c>
      <c r="H160" s="48" t="b">
        <v>0</v>
      </c>
      <c r="M160" s="45">
        <v>69</v>
      </c>
    </row>
    <row r="161" spans="1:13" s="45" customFormat="1" ht="15.75">
      <c r="A161" s="46">
        <v>160</v>
      </c>
      <c r="B161" s="47" t="s">
        <v>742</v>
      </c>
      <c r="C161" s="47" t="s">
        <v>743</v>
      </c>
      <c r="D161" s="50" t="s">
        <v>744</v>
      </c>
      <c r="E161" s="48" t="b">
        <v>0</v>
      </c>
      <c r="F161" s="48" t="b">
        <v>0</v>
      </c>
      <c r="G161" s="49" t="b">
        <v>0</v>
      </c>
      <c r="H161" s="48" t="b">
        <v>0</v>
      </c>
      <c r="M161" s="45">
        <v>70</v>
      </c>
    </row>
    <row r="162" spans="1:13" s="45" customFormat="1" ht="15.75">
      <c r="A162" s="46">
        <v>161</v>
      </c>
      <c r="B162" s="47" t="s">
        <v>237</v>
      </c>
      <c r="C162" s="47" t="s">
        <v>238</v>
      </c>
      <c r="D162" s="50" t="s">
        <v>239</v>
      </c>
      <c r="E162" s="48" t="b">
        <v>0</v>
      </c>
      <c r="F162" s="48" t="b">
        <v>0</v>
      </c>
      <c r="G162" s="49" t="b">
        <v>1</v>
      </c>
      <c r="H162" s="48" t="b">
        <v>0</v>
      </c>
      <c r="M162" s="45">
        <v>71</v>
      </c>
    </row>
    <row r="163" spans="1:13" s="45" customFormat="1" ht="15.75">
      <c r="A163" s="46">
        <v>162</v>
      </c>
      <c r="B163" s="47" t="s">
        <v>745</v>
      </c>
      <c r="C163" s="47" t="s">
        <v>746</v>
      </c>
      <c r="D163" s="50" t="s">
        <v>747</v>
      </c>
      <c r="E163" s="48" t="b">
        <v>0</v>
      </c>
      <c r="F163" s="48" t="b">
        <v>0</v>
      </c>
      <c r="G163" s="49" t="b">
        <v>0</v>
      </c>
      <c r="H163" s="48" t="b">
        <v>0</v>
      </c>
      <c r="M163" s="45">
        <v>72</v>
      </c>
    </row>
    <row r="164" spans="1:13" s="45" customFormat="1" ht="15.75">
      <c r="A164" s="46">
        <v>163</v>
      </c>
      <c r="B164" s="47" t="s">
        <v>748</v>
      </c>
      <c r="C164" s="47" t="s">
        <v>749</v>
      </c>
      <c r="D164" s="50" t="s">
        <v>750</v>
      </c>
      <c r="E164" s="48" t="b">
        <v>0</v>
      </c>
      <c r="F164" s="48" t="b">
        <v>0</v>
      </c>
      <c r="G164" s="49" t="b">
        <v>0</v>
      </c>
      <c r="H164" s="48" t="b">
        <v>0</v>
      </c>
      <c r="M164" s="45">
        <v>73</v>
      </c>
    </row>
    <row r="165" spans="1:13" s="45" customFormat="1" ht="15.75">
      <c r="A165" s="46">
        <v>164</v>
      </c>
      <c r="B165" s="47" t="s">
        <v>751</v>
      </c>
      <c r="C165" s="47" t="s">
        <v>752</v>
      </c>
      <c r="D165" s="50" t="s">
        <v>753</v>
      </c>
      <c r="E165" s="48" t="b">
        <v>0</v>
      </c>
      <c r="F165" s="48" t="b">
        <v>0</v>
      </c>
      <c r="G165" s="49" t="b">
        <v>0</v>
      </c>
      <c r="H165" s="48" t="b">
        <v>0</v>
      </c>
      <c r="M165" s="45">
        <v>74</v>
      </c>
    </row>
    <row r="166" spans="1:13" s="45" customFormat="1" ht="15.75">
      <c r="A166" s="46">
        <v>165</v>
      </c>
      <c r="B166" s="47" t="s">
        <v>754</v>
      </c>
      <c r="C166" s="47" t="s">
        <v>755</v>
      </c>
      <c r="D166" s="50" t="s">
        <v>756</v>
      </c>
      <c r="E166" s="48" t="b">
        <v>0</v>
      </c>
      <c r="F166" s="48" t="b">
        <v>0</v>
      </c>
      <c r="G166" s="49" t="b">
        <v>0</v>
      </c>
      <c r="H166" s="48" t="b">
        <v>0</v>
      </c>
      <c r="M166" s="45">
        <v>75</v>
      </c>
    </row>
    <row r="167" spans="1:13" s="45" customFormat="1" ht="15.75">
      <c r="A167" s="46">
        <v>166</v>
      </c>
      <c r="B167" s="47" t="s">
        <v>757</v>
      </c>
      <c r="C167" s="47" t="s">
        <v>758</v>
      </c>
      <c r="D167" s="50" t="s">
        <v>759</v>
      </c>
      <c r="E167" s="48" t="b">
        <v>0</v>
      </c>
      <c r="F167" s="48" t="b">
        <v>0</v>
      </c>
      <c r="G167" s="49" t="b">
        <v>0</v>
      </c>
      <c r="H167" s="48" t="b">
        <v>0</v>
      </c>
      <c r="M167" s="45">
        <v>76</v>
      </c>
    </row>
    <row r="168" spans="1:13" s="45" customFormat="1" ht="15.75">
      <c r="A168" s="46">
        <v>167</v>
      </c>
      <c r="B168" s="47" t="s">
        <v>760</v>
      </c>
      <c r="C168" s="47" t="s">
        <v>761</v>
      </c>
      <c r="D168" s="50" t="s">
        <v>762</v>
      </c>
      <c r="E168" s="48" t="b">
        <v>0</v>
      </c>
      <c r="F168" s="48" t="b">
        <v>0</v>
      </c>
      <c r="G168" s="49" t="b">
        <v>0</v>
      </c>
      <c r="H168" s="48" t="b">
        <v>0</v>
      </c>
      <c r="M168" s="45">
        <v>77</v>
      </c>
    </row>
    <row r="169" spans="1:13" s="45" customFormat="1" ht="15.75">
      <c r="A169" s="46">
        <v>168</v>
      </c>
      <c r="B169" s="47" t="s">
        <v>763</v>
      </c>
      <c r="C169" s="47" t="s">
        <v>764</v>
      </c>
      <c r="D169" s="50" t="s">
        <v>765</v>
      </c>
      <c r="E169" s="48" t="b">
        <v>0</v>
      </c>
      <c r="F169" s="48" t="b">
        <v>0</v>
      </c>
      <c r="G169" s="49" t="b">
        <v>0</v>
      </c>
      <c r="H169" s="48" t="b">
        <v>0</v>
      </c>
      <c r="M169" s="45">
        <v>78</v>
      </c>
    </row>
    <row r="170" spans="1:13" s="45" customFormat="1" ht="15.75">
      <c r="A170" s="46">
        <v>169</v>
      </c>
      <c r="B170" s="47" t="s">
        <v>766</v>
      </c>
      <c r="C170" s="47" t="s">
        <v>767</v>
      </c>
      <c r="D170" s="50" t="s">
        <v>768</v>
      </c>
      <c r="E170" s="48" t="b">
        <v>0</v>
      </c>
      <c r="F170" s="48" t="b">
        <v>0</v>
      </c>
      <c r="G170" s="49" t="b">
        <v>0</v>
      </c>
      <c r="H170" s="48" t="b">
        <v>0</v>
      </c>
      <c r="M170" s="45">
        <v>79</v>
      </c>
    </row>
    <row r="171" spans="1:13" s="51" customFormat="1" ht="15.75">
      <c r="A171" s="59">
        <v>170</v>
      </c>
      <c r="B171" s="60" t="s">
        <v>20</v>
      </c>
      <c r="C171" s="60" t="s">
        <v>21</v>
      </c>
      <c r="D171" s="60" t="s">
        <v>22</v>
      </c>
      <c r="E171" s="61" t="b">
        <v>0</v>
      </c>
      <c r="F171" s="61" t="b">
        <v>0</v>
      </c>
      <c r="G171" s="62" t="b">
        <v>1</v>
      </c>
      <c r="H171" s="61" t="b">
        <v>0</v>
      </c>
      <c r="M171" s="51">
        <v>1</v>
      </c>
    </row>
    <row r="172" spans="1:13" s="51" customFormat="1" ht="15.75">
      <c r="A172" s="59">
        <v>171</v>
      </c>
      <c r="B172" s="60" t="s">
        <v>24</v>
      </c>
      <c r="C172" s="60" t="s">
        <v>25</v>
      </c>
      <c r="D172" s="60" t="s">
        <v>26</v>
      </c>
      <c r="E172" s="61" t="b">
        <v>0</v>
      </c>
      <c r="F172" s="61" t="b">
        <v>0</v>
      </c>
      <c r="G172" s="62" t="b">
        <v>1</v>
      </c>
      <c r="H172" s="61" t="b">
        <v>0</v>
      </c>
      <c r="M172" s="51">
        <v>2</v>
      </c>
    </row>
    <row r="173" spans="1:13" s="51" customFormat="1" ht="15.75">
      <c r="A173" s="59">
        <v>172</v>
      </c>
      <c r="B173" s="60" t="s">
        <v>32</v>
      </c>
      <c r="C173" s="60" t="s">
        <v>33</v>
      </c>
      <c r="D173" s="60" t="s">
        <v>34</v>
      </c>
      <c r="E173" s="61" t="b">
        <v>0</v>
      </c>
      <c r="F173" s="61" t="b">
        <v>0</v>
      </c>
      <c r="G173" s="62" t="b">
        <v>1</v>
      </c>
      <c r="H173" s="61" t="b">
        <v>0</v>
      </c>
      <c r="M173" s="51">
        <v>3</v>
      </c>
    </row>
    <row r="174" spans="1:13" s="51" customFormat="1" ht="15.75">
      <c r="A174" s="59">
        <v>173</v>
      </c>
      <c r="B174" s="60" t="s">
        <v>769</v>
      </c>
      <c r="C174" s="60" t="s">
        <v>770</v>
      </c>
      <c r="D174" s="60" t="s">
        <v>771</v>
      </c>
      <c r="E174" s="61" t="b">
        <v>0</v>
      </c>
      <c r="F174" s="61" t="b">
        <v>0</v>
      </c>
      <c r="G174" s="62" t="b">
        <v>0</v>
      </c>
      <c r="H174" s="61" t="b">
        <v>0</v>
      </c>
      <c r="M174" s="51">
        <v>4</v>
      </c>
    </row>
    <row r="175" spans="1:13" s="51" customFormat="1" ht="15.75">
      <c r="A175" s="59">
        <v>174</v>
      </c>
      <c r="B175" s="60" t="s">
        <v>772</v>
      </c>
      <c r="C175" s="60" t="s">
        <v>773</v>
      </c>
      <c r="D175" s="60" t="s">
        <v>774</v>
      </c>
      <c r="E175" s="61" t="b">
        <v>0</v>
      </c>
      <c r="F175" s="61" t="b">
        <v>0</v>
      </c>
      <c r="G175" s="62" t="b">
        <v>0</v>
      </c>
      <c r="H175" s="61" t="b">
        <v>0</v>
      </c>
      <c r="M175" s="51">
        <v>5</v>
      </c>
    </row>
    <row r="176" spans="1:13" s="51" customFormat="1" ht="15.75">
      <c r="A176" s="59">
        <v>175</v>
      </c>
      <c r="B176" s="60" t="s">
        <v>775</v>
      </c>
      <c r="C176" s="60" t="s">
        <v>776</v>
      </c>
      <c r="D176" s="60" t="s">
        <v>777</v>
      </c>
      <c r="E176" s="61" t="b">
        <v>0</v>
      </c>
      <c r="F176" s="61" t="b">
        <v>0</v>
      </c>
      <c r="G176" s="62" t="b">
        <v>0</v>
      </c>
      <c r="H176" s="61" t="b">
        <v>0</v>
      </c>
      <c r="M176" s="51">
        <v>6</v>
      </c>
    </row>
    <row r="177" spans="1:13" s="51" customFormat="1" ht="15.75">
      <c r="A177" s="59">
        <v>176</v>
      </c>
      <c r="B177" s="60" t="s">
        <v>48</v>
      </c>
      <c r="C177" s="60" t="s">
        <v>49</v>
      </c>
      <c r="D177" s="60" t="s">
        <v>50</v>
      </c>
      <c r="E177" s="61" t="b">
        <v>0</v>
      </c>
      <c r="F177" s="61" t="b">
        <v>0</v>
      </c>
      <c r="G177" s="62" t="b">
        <v>1</v>
      </c>
      <c r="H177" s="61" t="b">
        <v>0</v>
      </c>
      <c r="M177" s="51">
        <v>7</v>
      </c>
    </row>
    <row r="178" spans="1:13" s="51" customFormat="1" ht="15.75">
      <c r="A178" s="59">
        <v>177</v>
      </c>
      <c r="B178" s="60" t="s">
        <v>778</v>
      </c>
      <c r="C178" s="60" t="s">
        <v>779</v>
      </c>
      <c r="D178" s="60" t="s">
        <v>780</v>
      </c>
      <c r="E178" s="61" t="b">
        <v>0</v>
      </c>
      <c r="F178" s="61" t="b">
        <v>0</v>
      </c>
      <c r="G178" s="62" t="b">
        <v>0</v>
      </c>
      <c r="H178" s="61" t="b">
        <v>0</v>
      </c>
      <c r="M178" s="51">
        <v>8</v>
      </c>
    </row>
    <row r="179" spans="1:13" s="51" customFormat="1" ht="15.75">
      <c r="A179" s="59">
        <v>178</v>
      </c>
      <c r="B179" s="60" t="s">
        <v>781</v>
      </c>
      <c r="C179" s="60" t="s">
        <v>782</v>
      </c>
      <c r="D179" s="60" t="s">
        <v>783</v>
      </c>
      <c r="E179" s="61" t="b">
        <v>0</v>
      </c>
      <c r="F179" s="61" t="b">
        <v>0</v>
      </c>
      <c r="G179" s="62" t="b">
        <v>0</v>
      </c>
      <c r="H179" s="61" t="b">
        <v>0</v>
      </c>
      <c r="M179" s="51">
        <v>9</v>
      </c>
    </row>
    <row r="180" spans="1:13" s="51" customFormat="1" ht="15.75">
      <c r="A180" s="59">
        <v>179</v>
      </c>
      <c r="B180" s="60" t="s">
        <v>60</v>
      </c>
      <c r="C180" s="60" t="s">
        <v>61</v>
      </c>
      <c r="D180" s="60" t="s">
        <v>62</v>
      </c>
      <c r="E180" s="61" t="b">
        <v>0</v>
      </c>
      <c r="F180" s="61" t="b">
        <v>0</v>
      </c>
      <c r="G180" s="62" t="b">
        <v>1</v>
      </c>
      <c r="H180" s="61" t="b">
        <v>0</v>
      </c>
      <c r="M180" s="51">
        <v>10</v>
      </c>
    </row>
    <row r="181" spans="1:13" s="51" customFormat="1" ht="15.75">
      <c r="A181" s="59">
        <v>180</v>
      </c>
      <c r="B181" s="60" t="s">
        <v>68</v>
      </c>
      <c r="C181" s="60" t="s">
        <v>69</v>
      </c>
      <c r="D181" s="60" t="s">
        <v>70</v>
      </c>
      <c r="E181" s="61" t="b">
        <v>0</v>
      </c>
      <c r="F181" s="61" t="b">
        <v>0</v>
      </c>
      <c r="G181" s="62" t="b">
        <v>1</v>
      </c>
      <c r="H181" s="61" t="b">
        <v>0</v>
      </c>
      <c r="M181" s="51">
        <v>11</v>
      </c>
    </row>
    <row r="182" spans="1:13" s="51" customFormat="1" ht="15.75">
      <c r="A182" s="59">
        <v>181</v>
      </c>
      <c r="B182" s="60" t="s">
        <v>784</v>
      </c>
      <c r="C182" s="60" t="s">
        <v>785</v>
      </c>
      <c r="D182" s="60" t="s">
        <v>786</v>
      </c>
      <c r="E182" s="61" t="b">
        <v>0</v>
      </c>
      <c r="F182" s="61" t="b">
        <v>0</v>
      </c>
      <c r="G182" s="62" t="b">
        <v>0</v>
      </c>
      <c r="H182" s="61" t="b">
        <v>0</v>
      </c>
      <c r="M182" s="51">
        <v>12</v>
      </c>
    </row>
    <row r="183" spans="1:13" s="51" customFormat="1" ht="15.75">
      <c r="A183" s="59">
        <v>182</v>
      </c>
      <c r="B183" s="60" t="s">
        <v>787</v>
      </c>
      <c r="C183" s="60" t="s">
        <v>788</v>
      </c>
      <c r="D183" s="60" t="s">
        <v>789</v>
      </c>
      <c r="E183" s="61" t="b">
        <v>0</v>
      </c>
      <c r="F183" s="61" t="b">
        <v>0</v>
      </c>
      <c r="G183" s="62" t="b">
        <v>0</v>
      </c>
      <c r="H183" s="61" t="b">
        <v>0</v>
      </c>
      <c r="M183" s="51">
        <v>13</v>
      </c>
    </row>
    <row r="184" spans="1:13" s="51" customFormat="1" ht="15.75">
      <c r="A184" s="59">
        <v>183</v>
      </c>
      <c r="B184" s="60" t="s">
        <v>72</v>
      </c>
      <c r="C184" s="60" t="s">
        <v>73</v>
      </c>
      <c r="D184" s="60" t="s">
        <v>74</v>
      </c>
      <c r="E184" s="61" t="b">
        <v>0</v>
      </c>
      <c r="F184" s="61" t="b">
        <v>0</v>
      </c>
      <c r="G184" s="62" t="b">
        <v>1</v>
      </c>
      <c r="H184" s="61" t="b">
        <v>0</v>
      </c>
      <c r="M184" s="51">
        <v>14</v>
      </c>
    </row>
    <row r="185" spans="1:13" s="51" customFormat="1" ht="15.75">
      <c r="A185" s="59">
        <v>184</v>
      </c>
      <c r="B185" s="60" t="s">
        <v>790</v>
      </c>
      <c r="C185" s="60" t="s">
        <v>791</v>
      </c>
      <c r="D185" s="60" t="s">
        <v>792</v>
      </c>
      <c r="E185" s="61" t="b">
        <v>0</v>
      </c>
      <c r="F185" s="61" t="b">
        <v>0</v>
      </c>
      <c r="G185" s="62" t="b">
        <v>0</v>
      </c>
      <c r="H185" s="61" t="b">
        <v>0</v>
      </c>
      <c r="M185" s="51">
        <v>15</v>
      </c>
    </row>
    <row r="186" spans="1:13" s="51" customFormat="1" ht="15.75">
      <c r="A186" s="59">
        <v>185</v>
      </c>
      <c r="B186" s="60" t="s">
        <v>793</v>
      </c>
      <c r="C186" s="60" t="s">
        <v>794</v>
      </c>
      <c r="D186" s="60" t="s">
        <v>795</v>
      </c>
      <c r="E186" s="61" t="b">
        <v>0</v>
      </c>
      <c r="F186" s="61" t="b">
        <v>0</v>
      </c>
      <c r="G186" s="62" t="b">
        <v>0</v>
      </c>
      <c r="H186" s="61" t="b">
        <v>0</v>
      </c>
      <c r="M186" s="51">
        <v>16</v>
      </c>
    </row>
    <row r="187" spans="1:13" s="51" customFormat="1" ht="15.75">
      <c r="A187" s="59">
        <v>186</v>
      </c>
      <c r="B187" s="60" t="s">
        <v>796</v>
      </c>
      <c r="C187" s="60" t="s">
        <v>797</v>
      </c>
      <c r="D187" s="60" t="s">
        <v>798</v>
      </c>
      <c r="E187" s="61" t="b">
        <v>0</v>
      </c>
      <c r="F187" s="61" t="b">
        <v>0</v>
      </c>
      <c r="G187" s="62" t="b">
        <v>0</v>
      </c>
      <c r="H187" s="61" t="b">
        <v>0</v>
      </c>
      <c r="M187" s="51">
        <v>17</v>
      </c>
    </row>
    <row r="188" spans="1:13" s="51" customFormat="1" ht="15.75">
      <c r="A188" s="59">
        <v>187</v>
      </c>
      <c r="B188" s="60" t="s">
        <v>799</v>
      </c>
      <c r="C188" s="60" t="s">
        <v>800</v>
      </c>
      <c r="D188" s="60" t="s">
        <v>801</v>
      </c>
      <c r="E188" s="61" t="b">
        <v>0</v>
      </c>
      <c r="F188" s="61" t="b">
        <v>0</v>
      </c>
      <c r="G188" s="62" t="b">
        <v>0</v>
      </c>
      <c r="H188" s="61" t="b">
        <v>0</v>
      </c>
      <c r="M188" s="51">
        <v>18</v>
      </c>
    </row>
    <row r="189" spans="1:13" s="51" customFormat="1" ht="15.75">
      <c r="A189" s="59">
        <v>188</v>
      </c>
      <c r="B189" s="60" t="s">
        <v>84</v>
      </c>
      <c r="C189" s="60" t="s">
        <v>85</v>
      </c>
      <c r="D189" s="60" t="s">
        <v>86</v>
      </c>
      <c r="E189" s="61" t="b">
        <v>0</v>
      </c>
      <c r="F189" s="61" t="b">
        <v>0</v>
      </c>
      <c r="G189" s="62" t="b">
        <v>1</v>
      </c>
      <c r="H189" s="61" t="b">
        <v>0</v>
      </c>
      <c r="M189" s="51">
        <v>19</v>
      </c>
    </row>
    <row r="190" spans="1:13" s="51" customFormat="1" ht="15.75">
      <c r="A190" s="59">
        <v>189</v>
      </c>
      <c r="B190" s="60" t="s">
        <v>802</v>
      </c>
      <c r="C190" s="60" t="s">
        <v>803</v>
      </c>
      <c r="D190" s="60" t="s">
        <v>804</v>
      </c>
      <c r="E190" s="61" t="b">
        <v>0</v>
      </c>
      <c r="F190" s="61" t="b">
        <v>0</v>
      </c>
      <c r="G190" s="62" t="b">
        <v>0</v>
      </c>
      <c r="H190" s="61" t="b">
        <v>0</v>
      </c>
      <c r="M190" s="51">
        <v>20</v>
      </c>
    </row>
    <row r="191" spans="1:13" s="51" customFormat="1" ht="15.75">
      <c r="A191" s="59">
        <v>190</v>
      </c>
      <c r="B191" s="60" t="s">
        <v>805</v>
      </c>
      <c r="C191" s="60" t="s">
        <v>806</v>
      </c>
      <c r="D191" s="60" t="s">
        <v>807</v>
      </c>
      <c r="E191" s="61" t="b">
        <v>0</v>
      </c>
      <c r="F191" s="61" t="b">
        <v>0</v>
      </c>
      <c r="G191" s="62" t="b">
        <v>0</v>
      </c>
      <c r="H191" s="61" t="b">
        <v>0</v>
      </c>
      <c r="M191" s="51">
        <v>21</v>
      </c>
    </row>
    <row r="192" spans="1:13" s="51" customFormat="1" ht="15.75">
      <c r="A192" s="59">
        <v>191</v>
      </c>
      <c r="B192" s="60" t="s">
        <v>808</v>
      </c>
      <c r="C192" s="60" t="s">
        <v>809</v>
      </c>
      <c r="D192" s="60" t="s">
        <v>810</v>
      </c>
      <c r="E192" s="61" t="b">
        <v>0</v>
      </c>
      <c r="F192" s="61" t="b">
        <v>0</v>
      </c>
      <c r="G192" s="62" t="b">
        <v>0</v>
      </c>
      <c r="H192" s="61" t="b">
        <v>0</v>
      </c>
      <c r="M192" s="51">
        <v>22</v>
      </c>
    </row>
    <row r="193" spans="1:13" s="51" customFormat="1" ht="15.75">
      <c r="A193" s="59">
        <v>192</v>
      </c>
      <c r="B193" s="60" t="s">
        <v>96</v>
      </c>
      <c r="C193" s="60" t="s">
        <v>97</v>
      </c>
      <c r="D193" s="60" t="s">
        <v>98</v>
      </c>
      <c r="E193" s="61" t="b">
        <v>0</v>
      </c>
      <c r="F193" s="61" t="b">
        <v>0</v>
      </c>
      <c r="G193" s="62" t="b">
        <v>1</v>
      </c>
      <c r="H193" s="61" t="b">
        <v>0</v>
      </c>
      <c r="M193" s="51">
        <v>23</v>
      </c>
    </row>
    <row r="194" spans="1:13" s="51" customFormat="1" ht="15.75">
      <c r="A194" s="59">
        <v>193</v>
      </c>
      <c r="B194" s="60" t="s">
        <v>811</v>
      </c>
      <c r="C194" s="60" t="s">
        <v>812</v>
      </c>
      <c r="D194" s="60" t="s">
        <v>813</v>
      </c>
      <c r="E194" s="61" t="b">
        <v>0</v>
      </c>
      <c r="F194" s="61" t="b">
        <v>0</v>
      </c>
      <c r="G194" s="62" t="b">
        <v>0</v>
      </c>
      <c r="H194" s="61" t="b">
        <v>0</v>
      </c>
      <c r="M194" s="51">
        <v>24</v>
      </c>
    </row>
    <row r="195" spans="1:13" s="51" customFormat="1" ht="15.75">
      <c r="A195" s="59">
        <v>194</v>
      </c>
      <c r="B195" s="60" t="s">
        <v>814</v>
      </c>
      <c r="C195" s="60" t="s">
        <v>815</v>
      </c>
      <c r="D195" s="60" t="s">
        <v>816</v>
      </c>
      <c r="E195" s="61" t="b">
        <v>0</v>
      </c>
      <c r="F195" s="61" t="b">
        <v>0</v>
      </c>
      <c r="G195" s="62" t="b">
        <v>0</v>
      </c>
      <c r="H195" s="61" t="b">
        <v>0</v>
      </c>
      <c r="M195" s="51">
        <v>25</v>
      </c>
    </row>
    <row r="196" spans="1:13" s="51" customFormat="1" ht="15.75">
      <c r="A196" s="59">
        <v>195</v>
      </c>
      <c r="B196" s="60" t="s">
        <v>817</v>
      </c>
      <c r="C196" s="60" t="s">
        <v>818</v>
      </c>
      <c r="D196" s="60" t="s">
        <v>819</v>
      </c>
      <c r="E196" s="61" t="b">
        <v>0</v>
      </c>
      <c r="F196" s="61" t="b">
        <v>0</v>
      </c>
      <c r="G196" s="62" t="b">
        <v>0</v>
      </c>
      <c r="H196" s="61" t="b">
        <v>0</v>
      </c>
      <c r="M196" s="51">
        <v>26</v>
      </c>
    </row>
    <row r="197" spans="1:13" s="51" customFormat="1" ht="15.75">
      <c r="A197" s="59">
        <v>196</v>
      </c>
      <c r="B197" s="60" t="s">
        <v>820</v>
      </c>
      <c r="C197" s="60" t="s">
        <v>821</v>
      </c>
      <c r="D197" s="60" t="s">
        <v>822</v>
      </c>
      <c r="E197" s="61" t="b">
        <v>0</v>
      </c>
      <c r="F197" s="61" t="b">
        <v>0</v>
      </c>
      <c r="G197" s="62" t="b">
        <v>0</v>
      </c>
      <c r="H197" s="61" t="b">
        <v>0</v>
      </c>
      <c r="M197" s="51">
        <v>27</v>
      </c>
    </row>
    <row r="198" spans="1:13" s="51" customFormat="1" ht="15.75">
      <c r="A198" s="59">
        <v>197</v>
      </c>
      <c r="B198" s="60" t="s">
        <v>132</v>
      </c>
      <c r="C198" s="60" t="s">
        <v>133</v>
      </c>
      <c r="D198" s="60" t="s">
        <v>134</v>
      </c>
      <c r="E198" s="61" t="b">
        <v>0</v>
      </c>
      <c r="F198" s="61" t="b">
        <v>0</v>
      </c>
      <c r="G198" s="62" t="b">
        <v>1</v>
      </c>
      <c r="H198" s="61" t="b">
        <v>0</v>
      </c>
      <c r="M198" s="51">
        <v>28</v>
      </c>
    </row>
    <row r="199" spans="1:13" s="51" customFormat="1" ht="15.75">
      <c r="A199" s="59">
        <v>198</v>
      </c>
      <c r="B199" s="60" t="s">
        <v>136</v>
      </c>
      <c r="C199" s="60" t="s">
        <v>137</v>
      </c>
      <c r="D199" s="60" t="s">
        <v>138</v>
      </c>
      <c r="E199" s="61" t="b">
        <v>0</v>
      </c>
      <c r="F199" s="61" t="b">
        <v>0</v>
      </c>
      <c r="G199" s="62" t="b">
        <v>1</v>
      </c>
      <c r="H199" s="61" t="b">
        <v>0</v>
      </c>
      <c r="M199" s="51">
        <v>29</v>
      </c>
    </row>
    <row r="200" spans="1:13" s="51" customFormat="1" ht="15.75">
      <c r="A200" s="59">
        <v>199</v>
      </c>
      <c r="B200" s="60" t="s">
        <v>148</v>
      </c>
      <c r="C200" s="60" t="s">
        <v>149</v>
      </c>
      <c r="D200" s="60" t="s">
        <v>150</v>
      </c>
      <c r="E200" s="61" t="b">
        <v>0</v>
      </c>
      <c r="F200" s="61" t="b">
        <v>0</v>
      </c>
      <c r="G200" s="62" t="b">
        <v>1</v>
      </c>
      <c r="H200" s="61" t="b">
        <v>0</v>
      </c>
      <c r="M200" s="51">
        <v>30</v>
      </c>
    </row>
    <row r="201" spans="1:13" s="51" customFormat="1" ht="15.75">
      <c r="A201" s="59">
        <v>200</v>
      </c>
      <c r="B201" s="60" t="s">
        <v>823</v>
      </c>
      <c r="C201" s="60" t="s">
        <v>824</v>
      </c>
      <c r="D201" s="60" t="s">
        <v>825</v>
      </c>
      <c r="E201" s="61" t="b">
        <v>0</v>
      </c>
      <c r="F201" s="61" t="b">
        <v>0</v>
      </c>
      <c r="G201" s="62" t="b">
        <v>0</v>
      </c>
      <c r="H201" s="61" t="b">
        <v>0</v>
      </c>
      <c r="M201" s="51">
        <v>31</v>
      </c>
    </row>
    <row r="202" spans="1:13" s="51" customFormat="1" ht="15.75">
      <c r="A202" s="59">
        <v>201</v>
      </c>
      <c r="B202" s="60" t="s">
        <v>156</v>
      </c>
      <c r="C202" s="60" t="s">
        <v>157</v>
      </c>
      <c r="D202" s="60" t="s">
        <v>158</v>
      </c>
      <c r="E202" s="61" t="b">
        <v>0</v>
      </c>
      <c r="F202" s="61" t="b">
        <v>0</v>
      </c>
      <c r="G202" s="62" t="b">
        <v>1</v>
      </c>
      <c r="H202" s="61" t="b">
        <v>0</v>
      </c>
      <c r="M202" s="51">
        <v>32</v>
      </c>
    </row>
    <row r="203" spans="1:13" s="51" customFormat="1" ht="15.75">
      <c r="A203" s="59">
        <v>202</v>
      </c>
      <c r="B203" s="60" t="s">
        <v>160</v>
      </c>
      <c r="C203" s="60" t="s">
        <v>161</v>
      </c>
      <c r="D203" s="60" t="s">
        <v>162</v>
      </c>
      <c r="E203" s="61" t="b">
        <v>0</v>
      </c>
      <c r="F203" s="61" t="b">
        <v>0</v>
      </c>
      <c r="G203" s="62" t="b">
        <v>1</v>
      </c>
      <c r="H203" s="61" t="b">
        <v>0</v>
      </c>
      <c r="M203" s="51">
        <v>33</v>
      </c>
    </row>
    <row r="204" spans="1:13" s="51" customFormat="1" ht="15.75">
      <c r="A204" s="59">
        <v>203</v>
      </c>
      <c r="B204" s="60" t="s">
        <v>826</v>
      </c>
      <c r="C204" s="60" t="s">
        <v>827</v>
      </c>
      <c r="D204" s="60" t="s">
        <v>828</v>
      </c>
      <c r="E204" s="61" t="b">
        <v>0</v>
      </c>
      <c r="F204" s="61" t="b">
        <v>0</v>
      </c>
      <c r="G204" s="62" t="b">
        <v>0</v>
      </c>
      <c r="H204" s="61" t="b">
        <v>0</v>
      </c>
      <c r="M204" s="51">
        <v>34</v>
      </c>
    </row>
    <row r="205" spans="1:13" s="51" customFormat="1" ht="15.75">
      <c r="A205" s="59">
        <v>204</v>
      </c>
      <c r="B205" s="60" t="s">
        <v>829</v>
      </c>
      <c r="C205" s="60" t="s">
        <v>830</v>
      </c>
      <c r="D205" s="60" t="s">
        <v>831</v>
      </c>
      <c r="E205" s="61" t="b">
        <v>0</v>
      </c>
      <c r="F205" s="61" t="b">
        <v>0</v>
      </c>
      <c r="G205" s="62" t="b">
        <v>0</v>
      </c>
      <c r="H205" s="61" t="b">
        <v>0</v>
      </c>
      <c r="M205" s="51">
        <v>35</v>
      </c>
    </row>
    <row r="206" spans="1:13" s="51" customFormat="1" ht="15.75">
      <c r="A206" s="59">
        <v>205</v>
      </c>
      <c r="B206" s="60" t="s">
        <v>832</v>
      </c>
      <c r="C206" s="60" t="s">
        <v>833</v>
      </c>
      <c r="D206" s="60" t="s">
        <v>834</v>
      </c>
      <c r="E206" s="61" t="b">
        <v>0</v>
      </c>
      <c r="F206" s="61" t="b">
        <v>0</v>
      </c>
      <c r="G206" s="62" t="b">
        <v>0</v>
      </c>
      <c r="H206" s="61" t="b">
        <v>0</v>
      </c>
      <c r="M206" s="51">
        <v>36</v>
      </c>
    </row>
    <row r="207" spans="1:13" s="51" customFormat="1" ht="15.75">
      <c r="A207" s="59">
        <v>206</v>
      </c>
      <c r="B207" s="60" t="s">
        <v>174</v>
      </c>
      <c r="C207" s="60" t="s">
        <v>175</v>
      </c>
      <c r="D207" s="60" t="s">
        <v>176</v>
      </c>
      <c r="E207" s="61" t="b">
        <v>0</v>
      </c>
      <c r="F207" s="61" t="b">
        <v>0</v>
      </c>
      <c r="G207" s="62" t="b">
        <v>1</v>
      </c>
      <c r="H207" s="61" t="b">
        <v>0</v>
      </c>
      <c r="M207" s="51">
        <v>37</v>
      </c>
    </row>
    <row r="208" spans="1:13" s="51" customFormat="1" ht="15.75">
      <c r="A208" s="59">
        <v>207</v>
      </c>
      <c r="B208" s="60" t="s">
        <v>835</v>
      </c>
      <c r="C208" s="60" t="s">
        <v>836</v>
      </c>
      <c r="D208" s="60" t="s">
        <v>837</v>
      </c>
      <c r="E208" s="61" t="b">
        <v>0</v>
      </c>
      <c r="F208" s="61" t="b">
        <v>0</v>
      </c>
      <c r="G208" s="62" t="b">
        <v>0</v>
      </c>
      <c r="H208" s="61" t="b">
        <v>0</v>
      </c>
      <c r="M208" s="51">
        <v>38</v>
      </c>
    </row>
    <row r="209" spans="1:13" s="51" customFormat="1" ht="15.75">
      <c r="A209" s="59">
        <v>208</v>
      </c>
      <c r="B209" s="60" t="s">
        <v>838</v>
      </c>
      <c r="C209" s="60" t="s">
        <v>839</v>
      </c>
      <c r="D209" s="60" t="s">
        <v>840</v>
      </c>
      <c r="E209" s="61" t="b">
        <v>0</v>
      </c>
      <c r="F209" s="61" t="b">
        <v>0</v>
      </c>
      <c r="G209" s="62" t="b">
        <v>0</v>
      </c>
      <c r="H209" s="61" t="b">
        <v>0</v>
      </c>
      <c r="M209" s="51">
        <v>39</v>
      </c>
    </row>
    <row r="210" spans="1:13" s="51" customFormat="1" ht="15.75">
      <c r="A210" s="59">
        <v>209</v>
      </c>
      <c r="B210" s="60" t="s">
        <v>841</v>
      </c>
      <c r="C210" s="60" t="s">
        <v>842</v>
      </c>
      <c r="D210" s="60" t="s">
        <v>843</v>
      </c>
      <c r="E210" s="61" t="b">
        <v>0</v>
      </c>
      <c r="F210" s="61" t="b">
        <v>0</v>
      </c>
      <c r="G210" s="62" t="b">
        <v>0</v>
      </c>
      <c r="H210" s="61" t="b">
        <v>0</v>
      </c>
      <c r="M210" s="51">
        <v>40</v>
      </c>
    </row>
    <row r="211" spans="1:13" s="51" customFormat="1" ht="15.75">
      <c r="A211" s="59">
        <v>210</v>
      </c>
      <c r="B211" s="60" t="s">
        <v>844</v>
      </c>
      <c r="C211" s="60" t="s">
        <v>845</v>
      </c>
      <c r="D211" s="60" t="s">
        <v>846</v>
      </c>
      <c r="E211" s="61" t="b">
        <v>0</v>
      </c>
      <c r="F211" s="61" t="b">
        <v>0</v>
      </c>
      <c r="G211" s="62" t="b">
        <v>0</v>
      </c>
      <c r="H211" s="61" t="b">
        <v>0</v>
      </c>
      <c r="M211" s="51">
        <v>41</v>
      </c>
    </row>
    <row r="212" spans="1:13" s="51" customFormat="1" ht="15.75">
      <c r="A212" s="59">
        <v>211</v>
      </c>
      <c r="B212" s="60" t="s">
        <v>847</v>
      </c>
      <c r="C212" s="60" t="s">
        <v>848</v>
      </c>
      <c r="D212" s="60" t="s">
        <v>849</v>
      </c>
      <c r="E212" s="61" t="b">
        <v>0</v>
      </c>
      <c r="F212" s="61" t="b">
        <v>0</v>
      </c>
      <c r="G212" s="62" t="b">
        <v>0</v>
      </c>
      <c r="H212" s="61" t="b">
        <v>0</v>
      </c>
      <c r="M212" s="51">
        <v>42</v>
      </c>
    </row>
    <row r="213" spans="1:13" s="51" customFormat="1" ht="15.75">
      <c r="A213" s="59">
        <v>212</v>
      </c>
      <c r="B213" s="60" t="s">
        <v>850</v>
      </c>
      <c r="C213" s="60" t="s">
        <v>851</v>
      </c>
      <c r="D213" s="60" t="s">
        <v>852</v>
      </c>
      <c r="E213" s="61" t="b">
        <v>0</v>
      </c>
      <c r="F213" s="61" t="b">
        <v>0</v>
      </c>
      <c r="G213" s="62" t="b">
        <v>0</v>
      </c>
      <c r="H213" s="61" t="b">
        <v>0</v>
      </c>
      <c r="M213" s="51">
        <v>43</v>
      </c>
    </row>
    <row r="214" spans="1:13" s="51" customFormat="1" ht="15.75">
      <c r="A214" s="59">
        <v>213</v>
      </c>
      <c r="B214" s="60" t="s">
        <v>853</v>
      </c>
      <c r="C214" s="60" t="s">
        <v>854</v>
      </c>
      <c r="D214" s="60" t="s">
        <v>855</v>
      </c>
      <c r="E214" s="61" t="b">
        <v>0</v>
      </c>
      <c r="F214" s="61" t="b">
        <v>0</v>
      </c>
      <c r="G214" s="62" t="b">
        <v>0</v>
      </c>
      <c r="H214" s="61" t="b">
        <v>0</v>
      </c>
      <c r="M214" s="51">
        <v>44</v>
      </c>
    </row>
    <row r="215" spans="1:13" s="51" customFormat="1" ht="15.75">
      <c r="A215" s="59">
        <v>214</v>
      </c>
      <c r="B215" s="60" t="s">
        <v>856</v>
      </c>
      <c r="C215" s="60" t="s">
        <v>857</v>
      </c>
      <c r="D215" s="60" t="s">
        <v>858</v>
      </c>
      <c r="E215" s="61" t="b">
        <v>0</v>
      </c>
      <c r="F215" s="61" t="b">
        <v>0</v>
      </c>
      <c r="G215" s="62" t="b">
        <v>0</v>
      </c>
      <c r="H215" s="61" t="b">
        <v>0</v>
      </c>
      <c r="M215" s="51">
        <v>45</v>
      </c>
    </row>
    <row r="216" spans="1:13" s="51" customFormat="1" ht="15.75">
      <c r="A216" s="59">
        <v>215</v>
      </c>
      <c r="B216" s="60" t="s">
        <v>182</v>
      </c>
      <c r="C216" s="60" t="s">
        <v>183</v>
      </c>
      <c r="D216" s="60" t="s">
        <v>184</v>
      </c>
      <c r="E216" s="61" t="b">
        <v>0</v>
      </c>
      <c r="F216" s="61" t="b">
        <v>0</v>
      </c>
      <c r="G216" s="62" t="b">
        <v>1</v>
      </c>
      <c r="H216" s="61" t="b">
        <v>0</v>
      </c>
      <c r="M216" s="51">
        <v>46</v>
      </c>
    </row>
    <row r="217" spans="1:13" s="51" customFormat="1" ht="15.75">
      <c r="A217" s="59">
        <v>216</v>
      </c>
      <c r="B217" s="60" t="s">
        <v>190</v>
      </c>
      <c r="C217" s="60" t="s">
        <v>191</v>
      </c>
      <c r="D217" s="60" t="s">
        <v>192</v>
      </c>
      <c r="E217" s="61" t="b">
        <v>0</v>
      </c>
      <c r="F217" s="61" t="b">
        <v>0</v>
      </c>
      <c r="G217" s="62" t="b">
        <v>1</v>
      </c>
      <c r="H217" s="61" t="b">
        <v>0</v>
      </c>
      <c r="M217" s="51">
        <v>47</v>
      </c>
    </row>
    <row r="218" spans="1:13" s="51" customFormat="1" ht="15.75">
      <c r="A218" s="59">
        <v>217</v>
      </c>
      <c r="B218" s="60" t="s">
        <v>194</v>
      </c>
      <c r="C218" s="60" t="s">
        <v>195</v>
      </c>
      <c r="D218" s="60" t="s">
        <v>196</v>
      </c>
      <c r="E218" s="61" t="b">
        <v>0</v>
      </c>
      <c r="F218" s="61" t="b">
        <v>0</v>
      </c>
      <c r="G218" s="62" t="b">
        <v>1</v>
      </c>
      <c r="H218" s="61" t="b">
        <v>0</v>
      </c>
      <c r="M218" s="51">
        <v>48</v>
      </c>
    </row>
    <row r="219" spans="1:13" s="51" customFormat="1" ht="15.75">
      <c r="A219" s="59">
        <v>218</v>
      </c>
      <c r="B219" s="60" t="s">
        <v>202</v>
      </c>
      <c r="C219" s="60" t="s">
        <v>203</v>
      </c>
      <c r="D219" s="60" t="s">
        <v>204</v>
      </c>
      <c r="E219" s="61" t="b">
        <v>0</v>
      </c>
      <c r="F219" s="61" t="b">
        <v>0</v>
      </c>
      <c r="G219" s="62" t="b">
        <v>1</v>
      </c>
      <c r="H219" s="61" t="b">
        <v>0</v>
      </c>
      <c r="M219" s="51">
        <v>49</v>
      </c>
    </row>
    <row r="220" spans="1:13" s="51" customFormat="1" ht="15.75">
      <c r="A220" s="59">
        <v>219</v>
      </c>
      <c r="B220" s="60" t="s">
        <v>859</v>
      </c>
      <c r="C220" s="60" t="s">
        <v>860</v>
      </c>
      <c r="D220" s="60" t="s">
        <v>861</v>
      </c>
      <c r="E220" s="61" t="b">
        <v>0</v>
      </c>
      <c r="F220" s="61" t="b">
        <v>0</v>
      </c>
      <c r="G220" s="62" t="b">
        <v>0</v>
      </c>
      <c r="H220" s="61" t="b">
        <v>0</v>
      </c>
      <c r="M220" s="51">
        <v>50</v>
      </c>
    </row>
    <row r="221" spans="1:13" s="51" customFormat="1" ht="15.75">
      <c r="A221" s="59">
        <v>220</v>
      </c>
      <c r="B221" s="60" t="s">
        <v>862</v>
      </c>
      <c r="C221" s="60" t="s">
        <v>863</v>
      </c>
      <c r="D221" s="60" t="s">
        <v>864</v>
      </c>
      <c r="E221" s="61" t="b">
        <v>0</v>
      </c>
      <c r="F221" s="61" t="b">
        <v>0</v>
      </c>
      <c r="G221" s="62" t="b">
        <v>0</v>
      </c>
      <c r="H221" s="61" t="b">
        <v>0</v>
      </c>
      <c r="M221" s="51">
        <v>51</v>
      </c>
    </row>
    <row r="222" spans="1:13" s="51" customFormat="1" ht="15.75">
      <c r="A222" s="59">
        <v>221</v>
      </c>
      <c r="B222" s="60" t="s">
        <v>865</v>
      </c>
      <c r="C222" s="60" t="s">
        <v>866</v>
      </c>
      <c r="D222" s="60" t="s">
        <v>867</v>
      </c>
      <c r="E222" s="61" t="b">
        <v>0</v>
      </c>
      <c r="F222" s="61" t="b">
        <v>0</v>
      </c>
      <c r="G222" s="62" t="b">
        <v>0</v>
      </c>
      <c r="H222" s="61" t="b">
        <v>0</v>
      </c>
      <c r="M222" s="51">
        <v>52</v>
      </c>
    </row>
    <row r="223" spans="1:13" s="51" customFormat="1" ht="15.75">
      <c r="A223" s="59">
        <v>222</v>
      </c>
      <c r="B223" s="60" t="s">
        <v>868</v>
      </c>
      <c r="C223" s="60" t="s">
        <v>869</v>
      </c>
      <c r="D223" s="60" t="s">
        <v>870</v>
      </c>
      <c r="E223" s="61" t="b">
        <v>0</v>
      </c>
      <c r="F223" s="61" t="b">
        <v>0</v>
      </c>
      <c r="G223" s="62" t="b">
        <v>0</v>
      </c>
      <c r="H223" s="61" t="b">
        <v>0</v>
      </c>
      <c r="M223" s="51">
        <v>53</v>
      </c>
    </row>
    <row r="224" spans="1:13" s="51" customFormat="1" ht="15.75">
      <c r="A224" s="59">
        <v>223</v>
      </c>
      <c r="B224" s="60" t="s">
        <v>225</v>
      </c>
      <c r="C224" s="60" t="s">
        <v>226</v>
      </c>
      <c r="D224" s="60" t="s">
        <v>227</v>
      </c>
      <c r="E224" s="61" t="b">
        <v>0</v>
      </c>
      <c r="F224" s="61" t="b">
        <v>0</v>
      </c>
      <c r="G224" s="62" t="b">
        <v>1</v>
      </c>
      <c r="H224" s="61" t="b">
        <v>0</v>
      </c>
      <c r="M224" s="51">
        <v>54</v>
      </c>
    </row>
    <row r="225" spans="1:13" s="51" customFormat="1" ht="15.75">
      <c r="A225" s="59"/>
      <c r="B225" s="60" t="s">
        <v>871</v>
      </c>
      <c r="C225" s="60" t="s">
        <v>872</v>
      </c>
      <c r="D225" s="60" t="s">
        <v>873</v>
      </c>
      <c r="E225" s="61" t="b">
        <v>0</v>
      </c>
      <c r="F225" s="61" t="b">
        <v>0</v>
      </c>
      <c r="G225" s="62" t="b">
        <v>0</v>
      </c>
      <c r="H225" s="61" t="b">
        <v>0</v>
      </c>
      <c r="M225" s="51">
        <v>55</v>
      </c>
    </row>
    <row r="226" spans="1:13" s="51" customFormat="1" ht="15.75">
      <c r="A226" s="59"/>
      <c r="B226" s="60" t="s">
        <v>874</v>
      </c>
      <c r="C226" s="60" t="s">
        <v>875</v>
      </c>
      <c r="D226" s="60" t="s">
        <v>876</v>
      </c>
      <c r="E226" s="61" t="b">
        <v>0</v>
      </c>
      <c r="F226" s="61" t="b">
        <v>0</v>
      </c>
      <c r="G226" s="62" t="b">
        <v>0</v>
      </c>
      <c r="H226" s="61" t="b">
        <v>0</v>
      </c>
      <c r="M226" s="51">
        <v>56</v>
      </c>
    </row>
    <row r="227" spans="1:13" s="51" customFormat="1" ht="15.75">
      <c r="A227" s="59"/>
      <c r="B227" s="60" t="s">
        <v>245</v>
      </c>
      <c r="C227" s="60" t="s">
        <v>246</v>
      </c>
      <c r="D227" s="60" t="s">
        <v>247</v>
      </c>
      <c r="E227" s="61" t="b">
        <v>0</v>
      </c>
      <c r="F227" s="61" t="b">
        <v>0</v>
      </c>
      <c r="G227" s="62" t="b">
        <v>1</v>
      </c>
      <c r="H227" s="61" t="b">
        <v>0</v>
      </c>
      <c r="M227" s="51">
        <v>57</v>
      </c>
    </row>
    <row r="228" spans="1:13" s="51" customFormat="1" ht="15.75">
      <c r="A228" s="59"/>
      <c r="B228" s="60" t="s">
        <v>249</v>
      </c>
      <c r="C228" s="60" t="s">
        <v>250</v>
      </c>
      <c r="D228" s="60" t="s">
        <v>251</v>
      </c>
      <c r="E228" s="61" t="b">
        <v>0</v>
      </c>
      <c r="F228" s="61" t="b">
        <v>0</v>
      </c>
      <c r="G228" s="62" t="b">
        <v>1</v>
      </c>
      <c r="H228" s="61" t="b">
        <v>0</v>
      </c>
      <c r="M228" s="51">
        <v>58</v>
      </c>
    </row>
    <row r="229" spans="1:13" s="51" customFormat="1" ht="15.75">
      <c r="A229" s="59"/>
      <c r="B229" s="60" t="s">
        <v>877</v>
      </c>
      <c r="C229" s="60" t="s">
        <v>878</v>
      </c>
      <c r="D229" s="60" t="s">
        <v>879</v>
      </c>
      <c r="E229" s="61" t="b">
        <v>0</v>
      </c>
      <c r="F229" s="61" t="b">
        <v>0</v>
      </c>
      <c r="G229" s="62" t="b">
        <v>0</v>
      </c>
      <c r="H229" s="61" t="b">
        <v>0</v>
      </c>
      <c r="M229" s="51">
        <v>59</v>
      </c>
    </row>
    <row r="230" spans="1:13" s="51" customFormat="1" ht="15.75">
      <c r="A230" s="59"/>
      <c r="B230" s="60" t="s">
        <v>880</v>
      </c>
      <c r="C230" s="60" t="s">
        <v>881</v>
      </c>
      <c r="D230" s="60" t="s">
        <v>882</v>
      </c>
      <c r="E230" s="61" t="b">
        <v>0</v>
      </c>
      <c r="F230" s="61" t="b">
        <v>0</v>
      </c>
      <c r="G230" s="62" t="b">
        <v>0</v>
      </c>
      <c r="H230" s="61" t="b">
        <v>0</v>
      </c>
      <c r="M230" s="51">
        <v>60</v>
      </c>
    </row>
    <row r="231" spans="1:13" s="51" customFormat="1" ht="15.75">
      <c r="A231" s="59"/>
      <c r="B231" s="60" t="s">
        <v>883</v>
      </c>
      <c r="C231" s="60" t="s">
        <v>884</v>
      </c>
      <c r="D231" s="60" t="s">
        <v>885</v>
      </c>
      <c r="E231" s="61" t="b">
        <v>0</v>
      </c>
      <c r="F231" s="61" t="b">
        <v>0</v>
      </c>
      <c r="G231" s="62" t="b">
        <v>0</v>
      </c>
      <c r="H231" s="61" t="b">
        <v>0</v>
      </c>
      <c r="M231" s="51">
        <v>61</v>
      </c>
    </row>
    <row r="232" spans="1:13" s="51" customFormat="1" ht="15.75">
      <c r="A232" s="59"/>
      <c r="B232" s="60" t="s">
        <v>257</v>
      </c>
      <c r="C232" s="60" t="s">
        <v>258</v>
      </c>
      <c r="D232" s="60" t="s">
        <v>259</v>
      </c>
      <c r="E232" s="61" t="b">
        <v>0</v>
      </c>
      <c r="F232" s="61" t="b">
        <v>0</v>
      </c>
      <c r="G232" s="62" t="b">
        <v>1</v>
      </c>
      <c r="H232" s="61" t="b">
        <v>0</v>
      </c>
      <c r="M232" s="51">
        <v>62</v>
      </c>
    </row>
    <row r="233" spans="1:13" s="51" customFormat="1" ht="15.75">
      <c r="A233" s="59"/>
      <c r="B233" s="60" t="s">
        <v>261</v>
      </c>
      <c r="C233" s="60" t="s">
        <v>262</v>
      </c>
      <c r="D233" s="60" t="s">
        <v>263</v>
      </c>
      <c r="E233" s="61" t="b">
        <v>0</v>
      </c>
      <c r="F233" s="61" t="b">
        <v>0</v>
      </c>
      <c r="G233" s="62" t="b">
        <v>1</v>
      </c>
      <c r="H233" s="61" t="b">
        <v>0</v>
      </c>
      <c r="M233" s="51">
        <v>63</v>
      </c>
    </row>
    <row r="234" spans="1:13" s="51" customFormat="1" ht="15.75">
      <c r="A234" s="59"/>
      <c r="B234" s="60" t="s">
        <v>265</v>
      </c>
      <c r="C234" s="60" t="s">
        <v>266</v>
      </c>
      <c r="D234" s="60" t="s">
        <v>267</v>
      </c>
      <c r="E234" s="61" t="b">
        <v>0</v>
      </c>
      <c r="F234" s="61" t="b">
        <v>0</v>
      </c>
      <c r="G234" s="62" t="b">
        <v>1</v>
      </c>
      <c r="H234" s="61" t="b">
        <v>0</v>
      </c>
      <c r="M234" s="51">
        <v>64</v>
      </c>
    </row>
    <row r="235" spans="1:13" s="52" customFormat="1" ht="15.75">
      <c r="A235" s="63"/>
      <c r="B235" s="38" t="s">
        <v>886</v>
      </c>
      <c r="C235" s="38" t="s">
        <v>887</v>
      </c>
      <c r="D235" s="38" t="s">
        <v>888</v>
      </c>
      <c r="E235" s="64" t="b">
        <v>0</v>
      </c>
      <c r="F235" s="64" t="b">
        <v>0</v>
      </c>
      <c r="G235" s="65" t="b">
        <v>0</v>
      </c>
      <c r="H235" s="64" t="b">
        <v>0</v>
      </c>
      <c r="M235" s="52">
        <v>1</v>
      </c>
    </row>
    <row r="236" spans="1:13" s="52" customFormat="1" ht="15.75">
      <c r="A236" s="63"/>
      <c r="B236" s="38" t="s">
        <v>28</v>
      </c>
      <c r="C236" s="38" t="s">
        <v>29</v>
      </c>
      <c r="D236" s="38" t="s">
        <v>30</v>
      </c>
      <c r="E236" s="64" t="b">
        <v>0</v>
      </c>
      <c r="F236" s="64" t="b">
        <v>0</v>
      </c>
      <c r="G236" s="65" t="b">
        <v>1</v>
      </c>
      <c r="H236" s="64" t="b">
        <v>0</v>
      </c>
      <c r="M236" s="52">
        <v>2</v>
      </c>
    </row>
    <row r="237" spans="1:13" s="52" customFormat="1" ht="15.75">
      <c r="A237" s="63"/>
      <c r="B237" s="38" t="s">
        <v>40</v>
      </c>
      <c r="C237" s="38" t="s">
        <v>41</v>
      </c>
      <c r="D237" s="38" t="s">
        <v>42</v>
      </c>
      <c r="E237" s="64" t="b">
        <v>0</v>
      </c>
      <c r="F237" s="64" t="b">
        <v>0</v>
      </c>
      <c r="G237" s="65" t="b">
        <v>1</v>
      </c>
      <c r="H237" s="64" t="b">
        <v>0</v>
      </c>
      <c r="M237" s="52">
        <v>3</v>
      </c>
    </row>
    <row r="238" spans="1:13" s="52" customFormat="1" ht="15.75">
      <c r="A238" s="63"/>
      <c r="B238" s="38" t="s">
        <v>44</v>
      </c>
      <c r="C238" s="38" t="s">
        <v>45</v>
      </c>
      <c r="D238" s="38" t="s">
        <v>46</v>
      </c>
      <c r="E238" s="64" t="b">
        <v>0</v>
      </c>
      <c r="F238" s="64" t="b">
        <v>1</v>
      </c>
      <c r="G238" s="65" t="b">
        <v>0</v>
      </c>
      <c r="H238" s="64" t="b">
        <v>0</v>
      </c>
      <c r="M238" s="52">
        <v>4</v>
      </c>
    </row>
    <row r="239" spans="1:13" s="52" customFormat="1" ht="15.75">
      <c r="A239" s="63"/>
      <c r="B239" s="38" t="s">
        <v>56</v>
      </c>
      <c r="C239" s="38" t="s">
        <v>57</v>
      </c>
      <c r="D239" s="38" t="s">
        <v>58</v>
      </c>
      <c r="E239" s="64" t="b">
        <v>0</v>
      </c>
      <c r="F239" s="64" t="b">
        <v>0</v>
      </c>
      <c r="G239" s="65" t="b">
        <v>1</v>
      </c>
      <c r="H239" s="64" t="b">
        <v>0</v>
      </c>
      <c r="M239" s="52">
        <v>5</v>
      </c>
    </row>
    <row r="240" spans="1:13" s="52" customFormat="1" ht="15.75">
      <c r="A240" s="63"/>
      <c r="B240" s="38" t="s">
        <v>889</v>
      </c>
      <c r="C240" s="38" t="s">
        <v>890</v>
      </c>
      <c r="D240" s="38" t="s">
        <v>891</v>
      </c>
      <c r="E240" s="64" t="b">
        <v>0</v>
      </c>
      <c r="F240" s="64" t="b">
        <v>0</v>
      </c>
      <c r="G240" s="65" t="b">
        <v>0</v>
      </c>
      <c r="H240" s="64" t="b">
        <v>0</v>
      </c>
      <c r="M240" s="52">
        <v>6</v>
      </c>
    </row>
    <row r="241" spans="1:13" s="52" customFormat="1" ht="15.75">
      <c r="A241" s="63"/>
      <c r="B241" s="38" t="s">
        <v>76</v>
      </c>
      <c r="C241" s="38" t="s">
        <v>77</v>
      </c>
      <c r="D241" s="38" t="s">
        <v>78</v>
      </c>
      <c r="E241" s="64" t="b">
        <v>0</v>
      </c>
      <c r="F241" s="64" t="b">
        <v>0</v>
      </c>
      <c r="G241" s="65" t="b">
        <v>1</v>
      </c>
      <c r="H241" s="64" t="b">
        <v>0</v>
      </c>
      <c r="M241" s="52">
        <v>7</v>
      </c>
    </row>
    <row r="242" spans="1:13" s="52" customFormat="1" ht="15.75">
      <c r="A242" s="63"/>
      <c r="B242" s="38" t="s">
        <v>892</v>
      </c>
      <c r="C242" s="38" t="s">
        <v>893</v>
      </c>
      <c r="D242" s="38" t="s">
        <v>894</v>
      </c>
      <c r="E242" s="64" t="b">
        <v>0</v>
      </c>
      <c r="F242" s="64" t="b">
        <v>0</v>
      </c>
      <c r="G242" s="65" t="b">
        <v>0</v>
      </c>
      <c r="H242" s="64" t="b">
        <v>0</v>
      </c>
      <c r="M242" s="52">
        <v>8</v>
      </c>
    </row>
    <row r="243" spans="1:13" s="52" customFormat="1" ht="15.75">
      <c r="A243" s="63"/>
      <c r="B243" s="38" t="s">
        <v>895</v>
      </c>
      <c r="C243" s="38" t="s">
        <v>896</v>
      </c>
      <c r="D243" s="38" t="s">
        <v>897</v>
      </c>
      <c r="E243" s="64" t="b">
        <v>0</v>
      </c>
      <c r="F243" s="64" t="b">
        <v>0</v>
      </c>
      <c r="G243" s="65" t="b">
        <v>0</v>
      </c>
      <c r="H243" s="64" t="b">
        <v>0</v>
      </c>
      <c r="M243" s="52">
        <v>9</v>
      </c>
    </row>
    <row r="244" spans="1:13" s="52" customFormat="1" ht="15.75">
      <c r="A244" s="63"/>
      <c r="B244" s="38" t="s">
        <v>898</v>
      </c>
      <c r="C244" s="38" t="s">
        <v>899</v>
      </c>
      <c r="D244" s="38" t="s">
        <v>900</v>
      </c>
      <c r="E244" s="64" t="b">
        <v>0</v>
      </c>
      <c r="F244" s="64" t="b">
        <v>0</v>
      </c>
      <c r="G244" s="65" t="b">
        <v>0</v>
      </c>
      <c r="H244" s="64" t="b">
        <v>0</v>
      </c>
      <c r="M244" s="52">
        <v>10</v>
      </c>
    </row>
    <row r="245" spans="1:13" s="52" customFormat="1" ht="15.75">
      <c r="A245" s="63"/>
      <c r="B245" s="38" t="s">
        <v>901</v>
      </c>
      <c r="C245" s="38" t="s">
        <v>902</v>
      </c>
      <c r="D245" s="38" t="s">
        <v>903</v>
      </c>
      <c r="E245" s="64" t="b">
        <v>0</v>
      </c>
      <c r="F245" s="64" t="b">
        <v>0</v>
      </c>
      <c r="G245" s="65" t="b">
        <v>0</v>
      </c>
      <c r="H245" s="64" t="b">
        <v>0</v>
      </c>
      <c r="M245" s="52">
        <v>11</v>
      </c>
    </row>
    <row r="246" spans="1:13" s="52" customFormat="1" ht="15.75">
      <c r="A246" s="63"/>
      <c r="B246" s="38" t="s">
        <v>904</v>
      </c>
      <c r="C246" s="38" t="s">
        <v>905</v>
      </c>
      <c r="D246" s="38" t="s">
        <v>906</v>
      </c>
      <c r="E246" s="64" t="b">
        <v>0</v>
      </c>
      <c r="F246" s="64" t="b">
        <v>0</v>
      </c>
      <c r="G246" s="65" t="b">
        <v>0</v>
      </c>
      <c r="H246" s="64" t="b">
        <v>0</v>
      </c>
      <c r="M246" s="52">
        <v>12</v>
      </c>
    </row>
    <row r="247" spans="1:13" s="52" customFormat="1" ht="15.75">
      <c r="A247" s="63"/>
      <c r="B247" s="38" t="s">
        <v>112</v>
      </c>
      <c r="C247" s="38" t="s">
        <v>113</v>
      </c>
      <c r="D247" s="38" t="s">
        <v>114</v>
      </c>
      <c r="E247" s="64" t="b">
        <v>0</v>
      </c>
      <c r="F247" s="64" t="b">
        <v>0</v>
      </c>
      <c r="G247" s="65" t="b">
        <v>1</v>
      </c>
      <c r="H247" s="64" t="b">
        <v>0</v>
      </c>
      <c r="M247" s="52">
        <v>13</v>
      </c>
    </row>
    <row r="248" spans="1:13" s="52" customFormat="1" ht="15.75">
      <c r="A248" s="63"/>
      <c r="B248" s="38" t="s">
        <v>907</v>
      </c>
      <c r="C248" s="38" t="s">
        <v>908</v>
      </c>
      <c r="D248" s="38" t="s">
        <v>909</v>
      </c>
      <c r="E248" s="64" t="b">
        <v>0</v>
      </c>
      <c r="F248" s="64" t="b">
        <v>0</v>
      </c>
      <c r="G248" s="65" t="b">
        <v>0</v>
      </c>
      <c r="H248" s="64" t="b">
        <v>0</v>
      </c>
      <c r="M248" s="52">
        <v>14</v>
      </c>
    </row>
    <row r="249" spans="1:13" s="52" customFormat="1" ht="15.75">
      <c r="A249" s="63"/>
      <c r="B249" s="38" t="s">
        <v>910</v>
      </c>
      <c r="C249" s="38" t="s">
        <v>911</v>
      </c>
      <c r="D249" s="38" t="s">
        <v>912</v>
      </c>
      <c r="E249" s="64" t="b">
        <v>0</v>
      </c>
      <c r="F249" s="64" t="b">
        <v>0</v>
      </c>
      <c r="G249" s="65" t="b">
        <v>0</v>
      </c>
      <c r="H249" s="64" t="b">
        <v>0</v>
      </c>
      <c r="M249" s="52">
        <v>15</v>
      </c>
    </row>
    <row r="250" spans="1:13" s="52" customFormat="1" ht="15.75">
      <c r="A250" s="63"/>
      <c r="B250" s="38" t="s">
        <v>913</v>
      </c>
      <c r="C250" s="38" t="s">
        <v>914</v>
      </c>
      <c r="D250" s="38" t="s">
        <v>915</v>
      </c>
      <c r="E250" s="64" t="b">
        <v>0</v>
      </c>
      <c r="F250" s="64" t="b">
        <v>0</v>
      </c>
      <c r="G250" s="65" t="b">
        <v>0</v>
      </c>
      <c r="H250" s="64" t="b">
        <v>0</v>
      </c>
      <c r="M250" s="52">
        <v>16</v>
      </c>
    </row>
    <row r="251" spans="1:13" s="52" customFormat="1" ht="15.75">
      <c r="A251" s="63"/>
      <c r="B251" s="38" t="s">
        <v>916</v>
      </c>
      <c r="C251" s="38" t="s">
        <v>917</v>
      </c>
      <c r="D251" s="38" t="s">
        <v>918</v>
      </c>
      <c r="E251" s="64" t="b">
        <v>0</v>
      </c>
      <c r="F251" s="64" t="b">
        <v>0</v>
      </c>
      <c r="G251" s="65" t="b">
        <v>0</v>
      </c>
      <c r="H251" s="64" t="b">
        <v>0</v>
      </c>
      <c r="M251" s="52">
        <v>17</v>
      </c>
    </row>
    <row r="252" spans="1:13" s="52" customFormat="1" ht="15.75">
      <c r="A252" s="63"/>
      <c r="B252" s="38" t="s">
        <v>120</v>
      </c>
      <c r="C252" s="38" t="s">
        <v>121</v>
      </c>
      <c r="D252" s="38" t="s">
        <v>122</v>
      </c>
      <c r="E252" s="64" t="b">
        <v>0</v>
      </c>
      <c r="F252" s="64" t="b">
        <v>0</v>
      </c>
      <c r="G252" s="65" t="b">
        <v>1</v>
      </c>
      <c r="H252" s="64" t="b">
        <v>0</v>
      </c>
      <c r="M252" s="52">
        <v>18</v>
      </c>
    </row>
    <row r="253" spans="1:13" s="52" customFormat="1" ht="15.75">
      <c r="A253" s="63"/>
      <c r="B253" s="38" t="s">
        <v>124</v>
      </c>
      <c r="C253" s="38" t="s">
        <v>125</v>
      </c>
      <c r="D253" s="38" t="s">
        <v>126</v>
      </c>
      <c r="E253" s="64" t="b">
        <v>0</v>
      </c>
      <c r="F253" s="64" t="b">
        <v>0</v>
      </c>
      <c r="G253" s="65" t="b">
        <v>1</v>
      </c>
      <c r="H253" s="64" t="b">
        <v>0</v>
      </c>
      <c r="M253" s="52">
        <v>19</v>
      </c>
    </row>
    <row r="254" spans="1:13" s="52" customFormat="1" ht="15.75">
      <c r="A254" s="63"/>
      <c r="B254" s="38" t="s">
        <v>919</v>
      </c>
      <c r="C254" s="38" t="s">
        <v>920</v>
      </c>
      <c r="D254" s="38" t="s">
        <v>921</v>
      </c>
      <c r="E254" s="64" t="b">
        <v>0</v>
      </c>
      <c r="F254" s="64" t="b">
        <v>0</v>
      </c>
      <c r="G254" s="65" t="b">
        <v>0</v>
      </c>
      <c r="H254" s="64" t="b">
        <v>0</v>
      </c>
      <c r="M254" s="52">
        <v>20</v>
      </c>
    </row>
    <row r="255" spans="1:13" s="52" customFormat="1" ht="15.75">
      <c r="A255" s="63"/>
      <c r="B255" s="38" t="s">
        <v>922</v>
      </c>
      <c r="C255" s="38" t="s">
        <v>923</v>
      </c>
      <c r="D255" s="73" t="s">
        <v>924</v>
      </c>
      <c r="E255" s="64" t="b">
        <v>0</v>
      </c>
      <c r="F255" s="64" t="b">
        <v>0</v>
      </c>
      <c r="G255" s="65" t="b">
        <v>0</v>
      </c>
      <c r="H255" s="64" t="b">
        <v>0</v>
      </c>
      <c r="M255" s="52">
        <v>21</v>
      </c>
    </row>
    <row r="256" spans="1:13" s="52" customFormat="1" ht="15.75">
      <c r="A256" s="63"/>
      <c r="B256" s="38" t="s">
        <v>925</v>
      </c>
      <c r="C256" s="38" t="s">
        <v>926</v>
      </c>
      <c r="D256" s="38" t="s">
        <v>927</v>
      </c>
      <c r="E256" s="64" t="b">
        <v>0</v>
      </c>
      <c r="F256" s="64" t="b">
        <v>0</v>
      </c>
      <c r="G256" s="65" t="b">
        <v>0</v>
      </c>
      <c r="H256" s="64" t="b">
        <v>0</v>
      </c>
      <c r="M256" s="52">
        <v>22</v>
      </c>
    </row>
    <row r="257" spans="1:13" s="52" customFormat="1" ht="15.75">
      <c r="A257" s="63"/>
      <c r="B257" s="38" t="s">
        <v>144</v>
      </c>
      <c r="C257" s="38" t="s">
        <v>145</v>
      </c>
      <c r="D257" s="38" t="s">
        <v>146</v>
      </c>
      <c r="E257" s="64" t="b">
        <v>0</v>
      </c>
      <c r="F257" s="64" t="b">
        <v>0</v>
      </c>
      <c r="G257" s="65" t="b">
        <v>1</v>
      </c>
      <c r="H257" s="64" t="b">
        <v>0</v>
      </c>
      <c r="M257" s="52">
        <v>23</v>
      </c>
    </row>
    <row r="258" spans="1:13" s="52" customFormat="1" ht="15.75">
      <c r="A258" s="63"/>
      <c r="B258" s="38" t="s">
        <v>928</v>
      </c>
      <c r="C258" s="38" t="s">
        <v>929</v>
      </c>
      <c r="D258" s="38" t="s">
        <v>930</v>
      </c>
      <c r="E258" s="64" t="b">
        <v>0</v>
      </c>
      <c r="F258" s="64" t="b">
        <v>0</v>
      </c>
      <c r="G258" s="65" t="b">
        <v>0</v>
      </c>
      <c r="H258" s="64" t="b">
        <v>0</v>
      </c>
      <c r="M258" s="52">
        <v>24</v>
      </c>
    </row>
    <row r="259" spans="1:13" s="52" customFormat="1" ht="15.75">
      <c r="A259" s="63"/>
      <c r="B259" s="38" t="s">
        <v>931</v>
      </c>
      <c r="C259" s="38" t="s">
        <v>932</v>
      </c>
      <c r="D259" s="38" t="s">
        <v>933</v>
      </c>
      <c r="E259" s="64" t="b">
        <v>0</v>
      </c>
      <c r="F259" s="64" t="b">
        <v>0</v>
      </c>
      <c r="G259" s="65" t="b">
        <v>0</v>
      </c>
      <c r="H259" s="64" t="b">
        <v>0</v>
      </c>
      <c r="M259" s="52">
        <v>25</v>
      </c>
    </row>
    <row r="260" spans="1:13" s="52" customFormat="1" ht="15.75">
      <c r="A260" s="63"/>
      <c r="B260" s="38" t="s">
        <v>934</v>
      </c>
      <c r="C260" s="38" t="s">
        <v>935</v>
      </c>
      <c r="D260" s="38" t="s">
        <v>936</v>
      </c>
      <c r="E260" s="64" t="b">
        <v>0</v>
      </c>
      <c r="F260" s="64" t="b">
        <v>0</v>
      </c>
      <c r="G260" s="65" t="b">
        <v>0</v>
      </c>
      <c r="H260" s="64" t="b">
        <v>0</v>
      </c>
      <c r="M260" s="52">
        <v>26</v>
      </c>
    </row>
    <row r="261" spans="1:13" s="52" customFormat="1" ht="15.75">
      <c r="A261" s="63"/>
      <c r="B261" s="38" t="s">
        <v>152</v>
      </c>
      <c r="C261" s="38" t="s">
        <v>153</v>
      </c>
      <c r="D261" s="38" t="s">
        <v>154</v>
      </c>
      <c r="E261" s="64" t="b">
        <v>0</v>
      </c>
      <c r="F261" s="64" t="b">
        <v>0</v>
      </c>
      <c r="G261" s="65" t="b">
        <v>1</v>
      </c>
      <c r="H261" s="64" t="b">
        <v>0</v>
      </c>
      <c r="M261" s="52">
        <v>27</v>
      </c>
    </row>
    <row r="262" spans="1:13" s="52" customFormat="1" ht="15.75">
      <c r="A262" s="63"/>
      <c r="B262" s="38" t="s">
        <v>164</v>
      </c>
      <c r="C262" s="38" t="s">
        <v>165</v>
      </c>
      <c r="D262" s="38" t="s">
        <v>166</v>
      </c>
      <c r="E262" s="64" t="b">
        <v>1</v>
      </c>
      <c r="F262" s="64" t="b">
        <v>1</v>
      </c>
      <c r="G262" s="65" t="b">
        <v>0</v>
      </c>
      <c r="H262" s="64" t="b">
        <v>0</v>
      </c>
      <c r="M262" s="52">
        <v>28</v>
      </c>
    </row>
    <row r="263" spans="1:13" s="52" customFormat="1" ht="15.75">
      <c r="A263" s="63"/>
      <c r="B263" s="38" t="s">
        <v>937</v>
      </c>
      <c r="C263" s="38" t="s">
        <v>938</v>
      </c>
      <c r="D263" s="38" t="s">
        <v>939</v>
      </c>
      <c r="E263" s="64" t="b">
        <v>0</v>
      </c>
      <c r="F263" s="64" t="b">
        <v>0</v>
      </c>
      <c r="G263" s="65" t="b">
        <v>0</v>
      </c>
      <c r="H263" s="64" t="b">
        <v>0</v>
      </c>
      <c r="M263" s="52">
        <v>29</v>
      </c>
    </row>
    <row r="264" spans="1:13" s="52" customFormat="1" ht="15.75">
      <c r="A264" s="63"/>
      <c r="B264" s="38" t="s">
        <v>940</v>
      </c>
      <c r="C264" s="38" t="s">
        <v>941</v>
      </c>
      <c r="D264" s="38" t="s">
        <v>942</v>
      </c>
      <c r="E264" s="64" t="b">
        <v>0</v>
      </c>
      <c r="F264" s="64" t="b">
        <v>0</v>
      </c>
      <c r="G264" s="65" t="b">
        <v>0</v>
      </c>
      <c r="H264" s="64" t="b">
        <v>0</v>
      </c>
      <c r="M264" s="52">
        <v>30</v>
      </c>
    </row>
    <row r="265" spans="1:13" s="52" customFormat="1" ht="15.75">
      <c r="A265" s="63"/>
      <c r="B265" s="38" t="s">
        <v>178</v>
      </c>
      <c r="C265" s="38" t="s">
        <v>179</v>
      </c>
      <c r="D265" s="38" t="s">
        <v>180</v>
      </c>
      <c r="E265" s="64" t="b">
        <v>0</v>
      </c>
      <c r="F265" s="64" t="b">
        <v>0</v>
      </c>
      <c r="G265" s="65" t="b">
        <v>1</v>
      </c>
      <c r="H265" s="64" t="b">
        <v>0</v>
      </c>
      <c r="M265" s="52">
        <v>31</v>
      </c>
    </row>
    <row r="266" spans="1:13" s="52" customFormat="1" ht="15.75">
      <c r="A266" s="63"/>
      <c r="B266" s="38" t="s">
        <v>943</v>
      </c>
      <c r="C266" s="38" t="s">
        <v>944</v>
      </c>
      <c r="D266" s="38" t="s">
        <v>945</v>
      </c>
      <c r="E266" s="64" t="b">
        <v>0</v>
      </c>
      <c r="F266" s="64" t="b">
        <v>0</v>
      </c>
      <c r="G266" s="65" t="b">
        <v>0</v>
      </c>
      <c r="H266" s="64" t="b">
        <v>0</v>
      </c>
      <c r="M266" s="52">
        <v>32</v>
      </c>
    </row>
    <row r="267" spans="1:13" s="52" customFormat="1" ht="15.75">
      <c r="A267" s="63"/>
      <c r="B267" s="38" t="s">
        <v>946</v>
      </c>
      <c r="C267" s="38" t="s">
        <v>947</v>
      </c>
      <c r="D267" s="38" t="s">
        <v>948</v>
      </c>
      <c r="E267" s="64" t="b">
        <v>0</v>
      </c>
      <c r="F267" s="64" t="b">
        <v>0</v>
      </c>
      <c r="G267" s="65" t="b">
        <v>0</v>
      </c>
      <c r="H267" s="64" t="b">
        <v>0</v>
      </c>
      <c r="M267" s="52">
        <v>33</v>
      </c>
    </row>
    <row r="268" spans="1:13" s="52" customFormat="1" ht="15.75">
      <c r="A268" s="63"/>
      <c r="B268" s="38" t="s">
        <v>949</v>
      </c>
      <c r="C268" s="38" t="s">
        <v>950</v>
      </c>
      <c r="D268" s="38" t="s">
        <v>951</v>
      </c>
      <c r="E268" s="64" t="b">
        <v>0</v>
      </c>
      <c r="F268" s="64" t="b">
        <v>0</v>
      </c>
      <c r="G268" s="65" t="b">
        <v>0</v>
      </c>
      <c r="H268" s="64" t="b">
        <v>0</v>
      </c>
      <c r="M268" s="52">
        <v>34</v>
      </c>
    </row>
    <row r="269" spans="1:13" s="52" customFormat="1" ht="15.75">
      <c r="A269" s="63"/>
      <c r="B269" s="38" t="s">
        <v>952</v>
      </c>
      <c r="C269" s="38" t="s">
        <v>953</v>
      </c>
      <c r="D269" s="38" t="s">
        <v>954</v>
      </c>
      <c r="E269" s="64" t="b">
        <v>0</v>
      </c>
      <c r="F269" s="64" t="b">
        <v>0</v>
      </c>
      <c r="G269" s="65" t="b">
        <v>0</v>
      </c>
      <c r="H269" s="64" t="b">
        <v>0</v>
      </c>
      <c r="M269" s="52">
        <v>35</v>
      </c>
    </row>
    <row r="270" spans="1:13" s="52" customFormat="1" ht="15.75">
      <c r="A270" s="63"/>
      <c r="B270" s="38" t="s">
        <v>198</v>
      </c>
      <c r="C270" s="38" t="s">
        <v>199</v>
      </c>
      <c r="D270" s="38" t="s">
        <v>200</v>
      </c>
      <c r="E270" s="64" t="b">
        <v>0</v>
      </c>
      <c r="F270" s="64" t="b">
        <v>0</v>
      </c>
      <c r="G270" s="65" t="b">
        <v>1</v>
      </c>
      <c r="H270" s="64" t="b">
        <v>0</v>
      </c>
      <c r="M270" s="52">
        <v>36</v>
      </c>
    </row>
    <row r="271" spans="1:13" s="52" customFormat="1" ht="15.75">
      <c r="A271" s="63"/>
      <c r="B271" s="38" t="s">
        <v>211</v>
      </c>
      <c r="C271" s="38" t="s">
        <v>212</v>
      </c>
      <c r="D271" s="38" t="s">
        <v>213</v>
      </c>
      <c r="E271" s="64" t="b">
        <v>1</v>
      </c>
      <c r="F271" s="64" t="b">
        <v>0</v>
      </c>
      <c r="G271" s="65" t="b">
        <v>1</v>
      </c>
      <c r="H271" s="64" t="b">
        <v>0</v>
      </c>
      <c r="M271" s="52">
        <v>37</v>
      </c>
    </row>
    <row r="272" spans="1:13" s="52" customFormat="1" ht="15.75">
      <c r="A272" s="63"/>
      <c r="B272" s="38" t="s">
        <v>229</v>
      </c>
      <c r="C272" s="38" t="s">
        <v>230</v>
      </c>
      <c r="D272" s="38" t="s">
        <v>231</v>
      </c>
      <c r="E272" s="64" t="b">
        <v>0</v>
      </c>
      <c r="F272" s="64" t="b">
        <v>0</v>
      </c>
      <c r="G272" s="65" t="b">
        <v>1</v>
      </c>
      <c r="H272" s="64" t="b">
        <v>0</v>
      </c>
      <c r="M272" s="52">
        <v>38</v>
      </c>
    </row>
    <row r="273" spans="1:13" s="52" customFormat="1" ht="15.75">
      <c r="A273" s="63"/>
      <c r="B273" s="38" t="s">
        <v>955</v>
      </c>
      <c r="C273" s="38" t="s">
        <v>956</v>
      </c>
      <c r="D273" s="38" t="s">
        <v>957</v>
      </c>
      <c r="E273" s="64" t="b">
        <v>0</v>
      </c>
      <c r="F273" s="64" t="b">
        <v>0</v>
      </c>
      <c r="G273" s="65" t="b">
        <v>0</v>
      </c>
      <c r="H273" s="64" t="b">
        <v>0</v>
      </c>
      <c r="M273" s="52">
        <v>39</v>
      </c>
    </row>
    <row r="274" spans="1:13" s="52" customFormat="1" ht="15.75">
      <c r="A274" s="63"/>
      <c r="B274" s="38" t="s">
        <v>958</v>
      </c>
      <c r="C274" s="38" t="s">
        <v>959</v>
      </c>
      <c r="D274" s="38" t="s">
        <v>960</v>
      </c>
      <c r="E274" s="64" t="b">
        <v>0</v>
      </c>
      <c r="F274" s="64" t="b">
        <v>0</v>
      </c>
      <c r="G274" s="65" t="b">
        <v>0</v>
      </c>
      <c r="H274" s="64" t="b">
        <v>0</v>
      </c>
      <c r="M274" s="52">
        <v>40</v>
      </c>
    </row>
    <row r="275" spans="1:13" s="52" customFormat="1" ht="15.75">
      <c r="A275" s="63"/>
      <c r="B275" s="38" t="s">
        <v>241</v>
      </c>
      <c r="C275" s="38" t="s">
        <v>242</v>
      </c>
      <c r="D275" s="38" t="s">
        <v>243</v>
      </c>
      <c r="E275" s="64" t="b">
        <v>0</v>
      </c>
      <c r="F275" s="64" t="b">
        <v>0</v>
      </c>
      <c r="G275" s="65" t="b">
        <v>1</v>
      </c>
      <c r="H275" s="64" t="b">
        <v>0</v>
      </c>
      <c r="M275" s="52">
        <v>41</v>
      </c>
    </row>
    <row r="276" spans="1:13" s="52" customFormat="1" ht="15.75">
      <c r="A276" s="63"/>
      <c r="B276" s="38" t="s">
        <v>961</v>
      </c>
      <c r="C276" s="38" t="s">
        <v>962</v>
      </c>
      <c r="D276" s="38" t="s">
        <v>963</v>
      </c>
      <c r="E276" s="64" t="b">
        <v>0</v>
      </c>
      <c r="F276" s="64" t="b">
        <v>0</v>
      </c>
      <c r="G276" s="65" t="b">
        <v>0</v>
      </c>
      <c r="H276" s="64" t="b">
        <v>0</v>
      </c>
      <c r="M276" s="52">
        <v>42</v>
      </c>
    </row>
    <row r="277" spans="1:13" s="52" customFormat="1" ht="15.75">
      <c r="A277" s="63"/>
      <c r="B277" s="38" t="s">
        <v>964</v>
      </c>
      <c r="C277" s="38" t="s">
        <v>965</v>
      </c>
      <c r="D277" s="38" t="s">
        <v>966</v>
      </c>
      <c r="E277" s="64" t="b">
        <v>0</v>
      </c>
      <c r="F277" s="64" t="b">
        <v>0</v>
      </c>
      <c r="G277" s="65" t="b">
        <v>0</v>
      </c>
      <c r="H277" s="64" t="b">
        <v>0</v>
      </c>
      <c r="M277" s="52">
        <v>43</v>
      </c>
    </row>
    <row r="278" spans="1:13" s="52" customFormat="1" ht="15.75">
      <c r="A278" s="63"/>
      <c r="B278" s="38" t="s">
        <v>967</v>
      </c>
      <c r="C278" s="38" t="s">
        <v>968</v>
      </c>
      <c r="D278" s="38" t="s">
        <v>969</v>
      </c>
      <c r="E278" s="64" t="b">
        <v>0</v>
      </c>
      <c r="F278" s="64" t="b">
        <v>0</v>
      </c>
      <c r="G278" s="65" t="b">
        <v>0</v>
      </c>
      <c r="H278" s="64" t="b">
        <v>0</v>
      </c>
      <c r="M278" s="52">
        <v>44</v>
      </c>
    </row>
    <row r="279" spans="1:13" s="52" customFormat="1" ht="15.75">
      <c r="A279" s="63"/>
      <c r="B279" s="38" t="s">
        <v>970</v>
      </c>
      <c r="C279" s="38" t="s">
        <v>971</v>
      </c>
      <c r="D279" s="38" t="s">
        <v>972</v>
      </c>
      <c r="E279" s="64" t="b">
        <v>0</v>
      </c>
      <c r="F279" s="64" t="b">
        <v>0</v>
      </c>
      <c r="G279" s="65" t="b">
        <v>0</v>
      </c>
      <c r="H279" s="64" t="b">
        <v>0</v>
      </c>
      <c r="M279" s="52">
        <v>45</v>
      </c>
    </row>
    <row r="280" spans="1:13" s="52" customFormat="1" ht="15.75">
      <c r="A280" s="63"/>
      <c r="B280" s="38" t="s">
        <v>973</v>
      </c>
      <c r="C280" s="38" t="s">
        <v>974</v>
      </c>
      <c r="D280" s="38" t="s">
        <v>975</v>
      </c>
      <c r="E280" s="64" t="b">
        <v>0</v>
      </c>
      <c r="F280" s="64" t="b">
        <v>0</v>
      </c>
      <c r="G280" s="65" t="b">
        <v>0</v>
      </c>
      <c r="H280" s="64" t="b">
        <v>0</v>
      </c>
      <c r="M280" s="52">
        <v>46</v>
      </c>
    </row>
    <row r="281" spans="1:13" s="52" customFormat="1" ht="15.75">
      <c r="A281" s="63"/>
      <c r="B281" s="38" t="s">
        <v>976</v>
      </c>
      <c r="C281" s="38" t="s">
        <v>977</v>
      </c>
      <c r="D281" s="38" t="s">
        <v>978</v>
      </c>
      <c r="E281" s="64" t="b">
        <v>0</v>
      </c>
      <c r="F281" s="64" t="b">
        <v>0</v>
      </c>
      <c r="G281" s="65" t="b">
        <v>0</v>
      </c>
      <c r="H281" s="64" t="b">
        <v>0</v>
      </c>
      <c r="M281" s="52">
        <v>47</v>
      </c>
    </row>
    <row r="282" spans="1:13" s="53" customFormat="1" ht="15.75">
      <c r="A282" s="66"/>
      <c r="B282" s="67" t="s">
        <v>13</v>
      </c>
      <c r="C282" s="67" t="s">
        <v>14</v>
      </c>
      <c r="D282" s="67" t="s">
        <v>15</v>
      </c>
      <c r="E282" s="68" t="b">
        <v>0</v>
      </c>
      <c r="F282" s="68" t="b">
        <v>1</v>
      </c>
      <c r="G282" s="69" t="b">
        <v>1</v>
      </c>
      <c r="H282" s="68" t="b">
        <v>0</v>
      </c>
      <c r="M282" s="53">
        <v>1</v>
      </c>
    </row>
    <row r="283" spans="1:13" s="53" customFormat="1" ht="15.75">
      <c r="A283" s="66"/>
      <c r="B283" s="67" t="s">
        <v>979</v>
      </c>
      <c r="C283" s="67" t="s">
        <v>980</v>
      </c>
      <c r="D283" s="67" t="s">
        <v>981</v>
      </c>
      <c r="E283" s="68" t="b">
        <v>0</v>
      </c>
      <c r="F283" s="68" t="b">
        <v>0</v>
      </c>
      <c r="G283" s="69" t="b">
        <v>0</v>
      </c>
      <c r="H283" s="68" t="b">
        <v>0</v>
      </c>
      <c r="M283" s="53">
        <v>2</v>
      </c>
    </row>
    <row r="284" spans="1:13" s="53" customFormat="1" ht="15.75">
      <c r="A284" s="66"/>
      <c r="B284" s="67" t="s">
        <v>982</v>
      </c>
      <c r="C284" s="67" t="s">
        <v>983</v>
      </c>
      <c r="D284" s="67" t="s">
        <v>984</v>
      </c>
      <c r="E284" s="68" t="b">
        <v>0</v>
      </c>
      <c r="F284" s="68" t="b">
        <v>0</v>
      </c>
      <c r="G284" s="69" t="b">
        <v>0</v>
      </c>
      <c r="H284" s="68" t="b">
        <v>0</v>
      </c>
      <c r="M284" s="53">
        <v>3</v>
      </c>
    </row>
    <row r="285" spans="1:13" s="53" customFormat="1" ht="15.75">
      <c r="A285" s="66"/>
      <c r="B285" s="67" t="s">
        <v>36</v>
      </c>
      <c r="C285" s="67" t="s">
        <v>37</v>
      </c>
      <c r="D285" s="67" t="s">
        <v>38</v>
      </c>
      <c r="E285" s="68" t="b">
        <v>0</v>
      </c>
      <c r="F285" s="68" t="b">
        <v>1</v>
      </c>
      <c r="G285" s="69" t="b">
        <v>0</v>
      </c>
      <c r="H285" s="68" t="b">
        <v>0</v>
      </c>
      <c r="M285" s="53">
        <v>4</v>
      </c>
    </row>
    <row r="286" spans="1:13" s="53" customFormat="1" ht="15.75">
      <c r="A286" s="66"/>
      <c r="B286" s="67" t="s">
        <v>985</v>
      </c>
      <c r="C286" s="67" t="s">
        <v>986</v>
      </c>
      <c r="D286" s="67" t="s">
        <v>987</v>
      </c>
      <c r="E286" s="68" t="b">
        <v>0</v>
      </c>
      <c r="F286" s="68" t="b">
        <v>0</v>
      </c>
      <c r="G286" s="69" t="b">
        <v>0</v>
      </c>
      <c r="H286" s="68" t="b">
        <v>0</v>
      </c>
      <c r="M286" s="53">
        <v>5</v>
      </c>
    </row>
    <row r="287" spans="1:13" s="53" customFormat="1" ht="15.75">
      <c r="A287" s="66"/>
      <c r="B287" s="67" t="s">
        <v>64</v>
      </c>
      <c r="C287" s="67" t="s">
        <v>65</v>
      </c>
      <c r="D287" s="67" t="s">
        <v>66</v>
      </c>
      <c r="E287" s="68" t="b">
        <v>0</v>
      </c>
      <c r="F287" s="68" t="b">
        <v>0</v>
      </c>
      <c r="G287" s="69" t="b">
        <v>1</v>
      </c>
      <c r="H287" s="68" t="b">
        <v>0</v>
      </c>
      <c r="M287" s="53">
        <v>6</v>
      </c>
    </row>
    <row r="288" spans="1:13" s="53" customFormat="1" ht="15.75">
      <c r="A288" s="66"/>
      <c r="B288" s="67" t="s">
        <v>988</v>
      </c>
      <c r="C288" s="67" t="s">
        <v>989</v>
      </c>
      <c r="D288" s="67" t="s">
        <v>990</v>
      </c>
      <c r="E288" s="68" t="b">
        <v>0</v>
      </c>
      <c r="F288" s="68" t="b">
        <v>0</v>
      </c>
      <c r="G288" s="69" t="b">
        <v>0</v>
      </c>
      <c r="H288" s="68" t="b">
        <v>0</v>
      </c>
      <c r="M288" s="53">
        <v>7</v>
      </c>
    </row>
    <row r="289" spans="1:13" s="53" customFormat="1" ht="15.75">
      <c r="A289" s="66"/>
      <c r="B289" s="67" t="s">
        <v>991</v>
      </c>
      <c r="C289" s="67" t="s">
        <v>992</v>
      </c>
      <c r="D289" s="67" t="s">
        <v>993</v>
      </c>
      <c r="E289" s="68" t="b">
        <v>0</v>
      </c>
      <c r="F289" s="68" t="b">
        <v>0</v>
      </c>
      <c r="G289" s="69" t="b">
        <v>0</v>
      </c>
      <c r="H289" s="68" t="b">
        <v>0</v>
      </c>
      <c r="M289" s="53">
        <v>8</v>
      </c>
    </row>
    <row r="290" spans="1:13" s="53" customFormat="1" ht="15.75">
      <c r="A290" s="66"/>
      <c r="B290" s="67" t="s">
        <v>88</v>
      </c>
      <c r="C290" s="67" t="s">
        <v>89</v>
      </c>
      <c r="D290" s="67" t="s">
        <v>90</v>
      </c>
      <c r="E290" s="68" t="b">
        <v>0</v>
      </c>
      <c r="F290" s="68" t="b">
        <v>0</v>
      </c>
      <c r="G290" s="69" t="b">
        <v>1</v>
      </c>
      <c r="H290" s="68" t="b">
        <v>0</v>
      </c>
      <c r="M290" s="53">
        <v>9</v>
      </c>
    </row>
    <row r="291" spans="1:13" s="53" customFormat="1" ht="15.75">
      <c r="A291" s="66"/>
      <c r="B291" s="67" t="s">
        <v>994</v>
      </c>
      <c r="C291" s="67" t="s">
        <v>995</v>
      </c>
      <c r="D291" s="67" t="s">
        <v>996</v>
      </c>
      <c r="E291" s="68" t="b">
        <v>0</v>
      </c>
      <c r="F291" s="68" t="b">
        <v>0</v>
      </c>
      <c r="G291" s="69" t="b">
        <v>0</v>
      </c>
      <c r="H291" s="68" t="b">
        <v>0</v>
      </c>
      <c r="M291" s="53">
        <v>10</v>
      </c>
    </row>
    <row r="292" spans="1:13" s="53" customFormat="1" ht="15.75">
      <c r="A292" s="66"/>
      <c r="B292" s="67" t="s">
        <v>100</v>
      </c>
      <c r="C292" s="67" t="s">
        <v>101</v>
      </c>
      <c r="D292" s="67" t="s">
        <v>102</v>
      </c>
      <c r="E292" s="68" t="b">
        <v>0</v>
      </c>
      <c r="F292" s="68" t="b">
        <v>0</v>
      </c>
      <c r="G292" s="69" t="b">
        <v>1</v>
      </c>
      <c r="H292" s="68" t="b">
        <v>0</v>
      </c>
      <c r="M292" s="53">
        <v>11</v>
      </c>
    </row>
    <row r="293" spans="1:13" s="53" customFormat="1" ht="15.75">
      <c r="A293" s="66"/>
      <c r="B293" s="67" t="s">
        <v>997</v>
      </c>
      <c r="C293" s="67" t="s">
        <v>998</v>
      </c>
      <c r="D293" s="67" t="s">
        <v>999</v>
      </c>
      <c r="E293" s="68" t="b">
        <v>0</v>
      </c>
      <c r="F293" s="68" t="b">
        <v>0</v>
      </c>
      <c r="G293" s="69" t="b">
        <v>0</v>
      </c>
      <c r="H293" s="68" t="b">
        <v>0</v>
      </c>
      <c r="M293" s="53">
        <v>12</v>
      </c>
    </row>
    <row r="294" spans="1:13" s="53" customFormat="1" ht="15.75">
      <c r="A294" s="66"/>
      <c r="B294" s="67" t="s">
        <v>1000</v>
      </c>
      <c r="C294" s="67" t="s">
        <v>1001</v>
      </c>
      <c r="D294" s="67" t="s">
        <v>1002</v>
      </c>
      <c r="E294" s="68" t="b">
        <v>0</v>
      </c>
      <c r="F294" s="68" t="b">
        <v>0</v>
      </c>
      <c r="G294" s="69" t="b">
        <v>0</v>
      </c>
      <c r="H294" s="68" t="b">
        <v>0</v>
      </c>
      <c r="M294" s="53">
        <v>13</v>
      </c>
    </row>
    <row r="295" spans="1:13" s="53" customFormat="1" ht="15.75">
      <c r="A295" s="66"/>
      <c r="B295" s="67" t="s">
        <v>104</v>
      </c>
      <c r="C295" s="67" t="s">
        <v>105</v>
      </c>
      <c r="D295" s="67" t="s">
        <v>106</v>
      </c>
      <c r="E295" s="68" t="b">
        <v>0</v>
      </c>
      <c r="F295" s="68" t="b">
        <v>0</v>
      </c>
      <c r="G295" s="69" t="b">
        <v>1</v>
      </c>
      <c r="H295" s="68" t="b">
        <v>0</v>
      </c>
      <c r="M295" s="53">
        <v>14</v>
      </c>
    </row>
    <row r="296" spans="1:13" s="53" customFormat="1" ht="15.75">
      <c r="A296" s="66"/>
      <c r="B296" s="67" t="s">
        <v>1003</v>
      </c>
      <c r="C296" s="67" t="s">
        <v>1004</v>
      </c>
      <c r="D296" s="67" t="s">
        <v>1005</v>
      </c>
      <c r="E296" s="68" t="b">
        <v>0</v>
      </c>
      <c r="F296" s="68" t="b">
        <v>0</v>
      </c>
      <c r="G296" s="69" t="b">
        <v>0</v>
      </c>
      <c r="H296" s="68" t="b">
        <v>0</v>
      </c>
      <c r="M296" s="53">
        <v>15</v>
      </c>
    </row>
    <row r="297" spans="1:13" s="53" customFormat="1" ht="15.75">
      <c r="A297" s="66"/>
      <c r="B297" s="67" t="s">
        <v>116</v>
      </c>
      <c r="C297" s="67" t="s">
        <v>117</v>
      </c>
      <c r="D297" s="67" t="s">
        <v>118</v>
      </c>
      <c r="E297" s="68" t="b">
        <v>0</v>
      </c>
      <c r="F297" s="68" t="b">
        <v>0</v>
      </c>
      <c r="G297" s="69" t="b">
        <v>1</v>
      </c>
      <c r="H297" s="68" t="b">
        <v>0</v>
      </c>
      <c r="M297" s="53">
        <v>16</v>
      </c>
    </row>
    <row r="298" spans="1:13" s="53" customFormat="1" ht="15.75">
      <c r="A298" s="66"/>
      <c r="B298" s="67" t="s">
        <v>1006</v>
      </c>
      <c r="C298" s="67" t="s">
        <v>1007</v>
      </c>
      <c r="D298" s="67" t="s">
        <v>1008</v>
      </c>
      <c r="E298" s="68" t="b">
        <v>0</v>
      </c>
      <c r="F298" s="68" t="b">
        <v>0</v>
      </c>
      <c r="G298" s="69" t="b">
        <v>0</v>
      </c>
      <c r="H298" s="68" t="b">
        <v>0</v>
      </c>
      <c r="M298" s="53">
        <v>17</v>
      </c>
    </row>
    <row r="299" spans="1:13" s="53" customFormat="1" ht="15.75">
      <c r="A299" s="66"/>
      <c r="B299" s="67" t="s">
        <v>1009</v>
      </c>
      <c r="C299" s="67" t="s">
        <v>1010</v>
      </c>
      <c r="D299" s="67" t="s">
        <v>1011</v>
      </c>
      <c r="E299" s="68" t="b">
        <v>0</v>
      </c>
      <c r="F299" s="68" t="b">
        <v>0</v>
      </c>
      <c r="G299" s="69" t="b">
        <v>0</v>
      </c>
      <c r="H299" s="68" t="b">
        <v>0</v>
      </c>
      <c r="M299" s="53">
        <v>18</v>
      </c>
    </row>
    <row r="300" spans="1:13" s="53" customFormat="1" ht="15.75">
      <c r="A300" s="66"/>
      <c r="B300" s="67" t="s">
        <v>1012</v>
      </c>
      <c r="C300" s="67" t="s">
        <v>1013</v>
      </c>
      <c r="D300" s="67" t="s">
        <v>1014</v>
      </c>
      <c r="E300" s="68" t="b">
        <v>0</v>
      </c>
      <c r="F300" s="68" t="b">
        <v>0</v>
      </c>
      <c r="G300" s="69" t="b">
        <v>0</v>
      </c>
      <c r="H300" s="68" t="b">
        <v>0</v>
      </c>
      <c r="M300" s="53">
        <v>19</v>
      </c>
    </row>
    <row r="301" spans="1:13" s="53" customFormat="1" ht="15.75">
      <c r="A301" s="66"/>
      <c r="B301" s="67" t="s">
        <v>1015</v>
      </c>
      <c r="C301" s="67" t="s">
        <v>1016</v>
      </c>
      <c r="D301" s="67" t="s">
        <v>1017</v>
      </c>
      <c r="E301" s="68" t="b">
        <v>0</v>
      </c>
      <c r="F301" s="68" t="b">
        <v>0</v>
      </c>
      <c r="G301" s="69" t="b">
        <v>0</v>
      </c>
      <c r="H301" s="68" t="b">
        <v>0</v>
      </c>
      <c r="M301" s="53">
        <v>20</v>
      </c>
    </row>
    <row r="302" spans="1:13" s="53" customFormat="1" ht="15.75">
      <c r="A302" s="66"/>
      <c r="B302" s="67" t="s">
        <v>1018</v>
      </c>
      <c r="C302" s="67" t="s">
        <v>1019</v>
      </c>
      <c r="D302" s="67" t="s">
        <v>1020</v>
      </c>
      <c r="E302" s="68" t="b">
        <v>0</v>
      </c>
      <c r="F302" s="68" t="b">
        <v>0</v>
      </c>
      <c r="G302" s="69" t="b">
        <v>0</v>
      </c>
      <c r="H302" s="68" t="b">
        <v>0</v>
      </c>
      <c r="M302" s="53">
        <v>21</v>
      </c>
    </row>
    <row r="303" spans="1:13" s="53" customFormat="1" ht="15.75">
      <c r="A303" s="66"/>
      <c r="B303" s="67" t="s">
        <v>1021</v>
      </c>
      <c r="C303" s="67" t="s">
        <v>1022</v>
      </c>
      <c r="D303" s="67" t="s">
        <v>1023</v>
      </c>
      <c r="E303" s="68" t="b">
        <v>0</v>
      </c>
      <c r="F303" s="68" t="b">
        <v>0</v>
      </c>
      <c r="G303" s="69" t="b">
        <v>0</v>
      </c>
      <c r="H303" s="68" t="b">
        <v>0</v>
      </c>
      <c r="M303" s="53">
        <v>22</v>
      </c>
    </row>
    <row r="304" spans="1:13" s="53" customFormat="1" ht="15.75">
      <c r="A304" s="66"/>
      <c r="B304" s="67" t="s">
        <v>1024</v>
      </c>
      <c r="C304" s="67" t="s">
        <v>1025</v>
      </c>
      <c r="D304" s="67" t="s">
        <v>1026</v>
      </c>
      <c r="E304" s="68" t="b">
        <v>0</v>
      </c>
      <c r="F304" s="68" t="b">
        <v>0</v>
      </c>
      <c r="G304" s="69" t="b">
        <v>0</v>
      </c>
      <c r="H304" s="68" t="b">
        <v>0</v>
      </c>
      <c r="M304" s="53">
        <v>23</v>
      </c>
    </row>
    <row r="305" spans="1:13" s="53" customFormat="1" ht="15.75">
      <c r="A305" s="66"/>
      <c r="B305" s="67" t="s">
        <v>1027</v>
      </c>
      <c r="C305" s="67" t="s">
        <v>1028</v>
      </c>
      <c r="D305" s="67" t="s">
        <v>1029</v>
      </c>
      <c r="E305" s="68" t="b">
        <v>0</v>
      </c>
      <c r="F305" s="68" t="b">
        <v>0</v>
      </c>
      <c r="G305" s="69" t="b">
        <v>0</v>
      </c>
      <c r="H305" s="68" t="b">
        <v>0</v>
      </c>
      <c r="M305" s="53">
        <v>24</v>
      </c>
    </row>
    <row r="306" spans="1:13" s="53" customFormat="1" ht="15.75">
      <c r="A306" s="66"/>
      <c r="B306" s="67" t="s">
        <v>1030</v>
      </c>
      <c r="C306" s="67" t="s">
        <v>1031</v>
      </c>
      <c r="D306" s="67" t="s">
        <v>1032</v>
      </c>
      <c r="E306" s="68" t="b">
        <v>0</v>
      </c>
      <c r="F306" s="68" t="b">
        <v>0</v>
      </c>
      <c r="G306" s="69" t="b">
        <v>0</v>
      </c>
      <c r="H306" s="68" t="b">
        <v>0</v>
      </c>
      <c r="M306" s="53">
        <v>25</v>
      </c>
    </row>
    <row r="307" spans="1:13" s="53" customFormat="1" ht="15.75">
      <c r="A307" s="66"/>
      <c r="B307" s="67" t="s">
        <v>1033</v>
      </c>
      <c r="C307" s="67" t="s">
        <v>1034</v>
      </c>
      <c r="D307" s="67" t="s">
        <v>1035</v>
      </c>
      <c r="E307" s="68" t="b">
        <v>0</v>
      </c>
      <c r="F307" s="68" t="b">
        <v>0</v>
      </c>
      <c r="G307" s="69" t="b">
        <v>0</v>
      </c>
      <c r="H307" s="68" t="b">
        <v>0</v>
      </c>
      <c r="M307" s="53">
        <v>26</v>
      </c>
    </row>
    <row r="308" spans="1:13" s="53" customFormat="1" ht="15.75">
      <c r="A308" s="66"/>
      <c r="B308" s="67" t="s">
        <v>206</v>
      </c>
      <c r="C308" s="67" t="s">
        <v>207</v>
      </c>
      <c r="D308" s="67" t="s">
        <v>208</v>
      </c>
      <c r="E308" s="68" t="b">
        <v>1</v>
      </c>
      <c r="F308" s="68" t="b">
        <v>0</v>
      </c>
      <c r="G308" s="69" t="b">
        <v>1</v>
      </c>
      <c r="H308" s="68" t="b">
        <v>0</v>
      </c>
      <c r="M308" s="53">
        <v>27</v>
      </c>
    </row>
    <row r="309" spans="1:13" s="53" customFormat="1" ht="15.75">
      <c r="A309" s="66"/>
      <c r="B309" s="67" t="s">
        <v>216</v>
      </c>
      <c r="C309" s="67" t="s">
        <v>217</v>
      </c>
      <c r="D309" s="67" t="s">
        <v>218</v>
      </c>
      <c r="E309" s="68" t="b">
        <v>1</v>
      </c>
      <c r="F309" s="68" t="b">
        <v>0</v>
      </c>
      <c r="G309" s="69" t="b">
        <v>1</v>
      </c>
      <c r="H309" s="68" t="b">
        <v>0</v>
      </c>
      <c r="M309" s="53">
        <v>28</v>
      </c>
    </row>
    <row r="310" spans="1:13" s="53" customFormat="1" ht="15.75">
      <c r="A310" s="66"/>
      <c r="B310" s="67" t="s">
        <v>1036</v>
      </c>
      <c r="C310" s="67" t="s">
        <v>1037</v>
      </c>
      <c r="D310" s="67" t="s">
        <v>1038</v>
      </c>
      <c r="E310" s="68" t="b">
        <v>0</v>
      </c>
      <c r="F310" s="68" t="b">
        <v>0</v>
      </c>
      <c r="G310" s="69" t="b">
        <v>0</v>
      </c>
      <c r="H310" s="68" t="b">
        <v>0</v>
      </c>
      <c r="M310" s="53">
        <v>29</v>
      </c>
    </row>
    <row r="311" spans="1:13" s="53" customFormat="1" ht="15.75">
      <c r="A311" s="66"/>
      <c r="B311" s="70" t="s">
        <v>233</v>
      </c>
      <c r="C311" s="70" t="s">
        <v>234</v>
      </c>
      <c r="D311" s="71" t="s">
        <v>235</v>
      </c>
      <c r="E311" s="68" t="b">
        <v>1</v>
      </c>
      <c r="F311" s="68" t="b">
        <v>0</v>
      </c>
      <c r="G311" s="69" t="b">
        <v>0</v>
      </c>
      <c r="H311" s="68" t="b">
        <v>0</v>
      </c>
      <c r="M311" s="53">
        <v>30</v>
      </c>
    </row>
    <row r="312" spans="1:13" s="53" customFormat="1" ht="15.75">
      <c r="A312" s="66"/>
      <c r="B312" s="67" t="s">
        <v>1039</v>
      </c>
      <c r="C312" s="67" t="s">
        <v>1040</v>
      </c>
      <c r="D312" s="67" t="s">
        <v>1041</v>
      </c>
      <c r="E312" s="68" t="b">
        <v>0</v>
      </c>
      <c r="F312" s="68" t="b">
        <v>0</v>
      </c>
      <c r="G312" s="69" t="b">
        <v>0</v>
      </c>
      <c r="H312" s="68" t="b">
        <v>0</v>
      </c>
      <c r="M312" s="53">
        <v>31</v>
      </c>
    </row>
    <row r="313" spans="1:13" s="53" customFormat="1" ht="15.75">
      <c r="A313" s="66"/>
      <c r="B313" s="67" t="s">
        <v>1042</v>
      </c>
      <c r="C313" s="67" t="s">
        <v>1043</v>
      </c>
      <c r="D313" s="67" t="s">
        <v>1044</v>
      </c>
      <c r="E313" s="68" t="b">
        <v>0</v>
      </c>
      <c r="F313" s="68" t="b">
        <v>0</v>
      </c>
      <c r="G313" s="69" t="b">
        <v>0</v>
      </c>
      <c r="H313" s="68" t="b">
        <v>0</v>
      </c>
      <c r="M313" s="53">
        <v>32</v>
      </c>
    </row>
    <row r="314" spans="1:13" s="53" customFormat="1" ht="15.75">
      <c r="A314" s="66"/>
      <c r="B314" s="67" t="s">
        <v>253</v>
      </c>
      <c r="C314" s="67" t="s">
        <v>254</v>
      </c>
      <c r="D314" s="67" t="s">
        <v>255</v>
      </c>
      <c r="E314" s="68" t="b">
        <v>0</v>
      </c>
      <c r="F314" s="68" t="b">
        <v>0</v>
      </c>
      <c r="G314" s="69" t="b">
        <v>1</v>
      </c>
      <c r="H314" s="68" t="b">
        <v>0</v>
      </c>
      <c r="M314" s="53">
        <v>33</v>
      </c>
    </row>
    <row r="315" spans="1:13">
      <c r="B315" s="42"/>
      <c r="C315" s="43"/>
      <c r="D315" s="44"/>
    </row>
  </sheetData>
  <sheetProtection algorithmName="SHA-512" hashValue="jnr4fRsgmmzJB26KffXCcNKaNVz1w+Vp9Lf8VEs8mTFDSaYpzgxwVDqs3LgcZ2wDlHrIXcry1NVMMFEolOAwXw==" saltValue="7bO8hWHT8UiLZ2P2vVCx3w==" spinCount="100000" sheet="1" objects="1" scenarios="1" selectLockedCells="1"/>
  <hyperlinks>
    <hyperlink ref="D255" r:id="rId1" xr:uid="{FE3679B9-DDF6-4F47-AAF6-2E159D6B66C4}"/>
    <hyperlink ref="D92" r:id="rId2" xr:uid="{6C47AB0B-6A5A-4AC3-A84D-D5C831415DA4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WFWKOOVMFS3NGH7C35C2OO4PMBXVXXO6:ms-officescript%3A%2F%2Fonedrive_business_sharinglink%2Fu!aHR0cHM6Ly9tc3VnZW5zYW4yLW15LnNoYXJlcG9pbnQuY29tLzp1Oi9nL3BlcnNvbmFsL3NlbGVuc19tc3VnZW5zYW4yX29ubWljcm9zb2Z0X2NvbS9JUUNzTExiVEgtTGZSYWM3ajJCdlc5M2VBZGdOTHFDcUZYQldwT1pwb1I5Ymhoaw"/>
  <scriptId xmlns="" id="ms-officescript%3A%2F%2Fonedrive_business_itemlink%2F01WFWKOOWFRFFNXJ2QVRFJGTHH3CQW3O22:ms-officescript%3A%2F%2Fonedrive_business_sharinglink%2Fu!aHR0cHM6Ly9tc3VnZW5zYW4yLW15LnNoYXJlcG9pbnQuY29tLzp1Oi9nL3BlcnNvbmFsL3NlbGVuc19tc3VnZW5zYW4yX29ubWljcm9zb2Z0X2NvbS9JUURGaVVyYnAxQ3NTcE5NNTlpaGJidGFBV2NTcFBlX2FQbXdHMmo1cmRIOG1QRQ"/>
  <scriptId xmlns="" id="ms-officescript%3A%2F%2Fonedrive_business_itemlink%2F01WFWKOOQXUWDW5NMXXVDKQ4C2ZJGWG35W:ms-officescript%3A%2F%2Fonedrive_business_sharinglink%2Fu!aHR0cHM6Ly9tc3VnZW5zYW4yLW15LnNoYXJlcG9pbnQuY29tLzp1Oi9nL3BlcnNvbmFsL3NlbGVuc19tc3VnZW5zYW4yX29ubWljcm9zb2Z0X2NvbS9JUUFYcFlkdXRaZTlScWh3V3NwTlkyLTJBUkxQY0dkRG81Y3FKUjZTSE1wbFlyVQ"/>
  <scriptId xmlns="" id="ms-officescript%3A%2F%2Fonedrive_business_itemlink%2F01WFWKOOTNBDS3IHMZPFC3SA4T3GI2OONU:ms-officescript%3A%2F%2Fonedrive_business_sharinglink%2Fu!aHR0cHM6Ly9tc3VnZW5zYW4yLW15LnNoYXJlcG9pbnQuY29tLzp1Oi9nL3BlcnNvbmFsL3NlbGVuc19tc3VnZW5zYW4yX29ubWljcm9zb2Z0X2NvbS9JUUJ0Q09XMEhabDVSYmtEazltUnB6bTBBZm81UnFGVWZtQ2dySk5aeGV1bkhwTQ"/>
  <scriptId xmlns="" id="ms-officescript%3A%2F%2Fonedrive_business_itemlink%2F01WFWKOOXJ4GSLIFJLCZBLFDOXCNP6LWGF:ms-officescript%3A%2F%2Fonedrive_business_sharinglink%2Fu!aHR0cHM6Ly9tc3VnZW5zYW4yLW15LnNoYXJlcG9pbnQuY29tLzp1Oi9nL3BlcnNvbmFsL3NlbGVuc19tc3VnZW5zYW4yX29ubWljcm9zb2Z0X2NvbS9JUURwNGFTMEZTc1dRcktOMXhOZjVkakZBVEJTcUdlSTY5MFZuOThNMEVYR2cxVQ"/>
</scriptIds>
</file>

<file path=customXml/itemProps1.xml><?xml version="1.0" encoding="utf-8"?>
<ds:datastoreItem xmlns:ds="http://schemas.openxmlformats.org/officeDocument/2006/customXml" ds:itemID="{44A3F83C-CB91-4400-A2AE-0AA69F6CF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2026-07-22T12:58:52Z</dcterms:created>
  <dcterms:modified xsi:type="dcterms:W3CDTF">2026-09-14T17:21:56Z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2026-08-15T23:32:35Z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b6b2b2b6-d40a-4ca1-a534-e8c220518b0f</vt:lpwstr>
  </property>
  <property fmtid="{D5CDD505-2E9C-101B-9397-08002B2CF9AE}" pid="7" name="MSIP_Label_defa4170-0d19-0005-0004-bc88714345d2_ActionId">
    <vt:lpwstr>fc28a7bc-de67-4ba5-be82-8482fb2d4360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